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7264c244d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例索引" sheetId="1" r:id="R42a89093abff48df"/>
    <x:sheet xmlns:r="http://schemas.openxmlformats.org/officeDocument/2006/relationships" name="01-嘉元科技" sheetId="2" r:id="R9116210656de4c6b"/>
    <x:sheet xmlns:r="http://schemas.openxmlformats.org/officeDocument/2006/relationships" name="02-唯都股份" sheetId="3" r:id="R98f7e1123e184cbd"/>
    <x:sheet xmlns:r="http://schemas.openxmlformats.org/officeDocument/2006/relationships" name="03-春风船舶" sheetId="4" r:id="Rb9b9d827c28e4ea2"/>
    <x:sheet xmlns:r="http://schemas.openxmlformats.org/officeDocument/2006/relationships" name="04-星印网络" sheetId="5" r:id="R2c8ebd1788204fb7"/>
    <x:sheet xmlns:r="http://schemas.openxmlformats.org/officeDocument/2006/relationships" name="05-慧业医药" sheetId="6" r:id="R9276ff4aad364190"/>
    <x:sheet xmlns:r="http://schemas.openxmlformats.org/officeDocument/2006/relationships" name="06-隆旭煤炭" sheetId="7" r:id="Rc9586510d334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"/>
    <x:numFmt numFmtId="202" formatCode="0.00%"/>
    <x:numFmt numFmtId="203" formatCode="@"/>
  </x:numFmts>
  <x:fonts count="5">
    <x:font>
      <x:sz val="11"/>
      <x:name val="Carlito"/>
    </x:font>
    <x:font>
      <x:sz val="10"/>
      <x:color rgb="FF243449"/>
      <x:name val="Microsoft YaHei"/>
    </x:font>
    <x:font>
      <x:b/>
      <x:sz val="10"/>
      <x:color rgb="FFFFFFFF"/>
      <x:name val="Microsoft YaHei"/>
    </x:font>
    <x:font>
      <x:b/>
      <x:sz val="15"/>
      <x:color rgb="FF243449"/>
      <x:name val="Microsoft YaHei"/>
    </x:font>
    <x:font>
      <x:sz val="1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53F5B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  <x:dxf>
      <x:font>
        <x:b/>
        <x:color rgb="FFA32922"/>
      </x:font>
      <x:fill>
        <x:patternFill patternType="solid">
          <x:bgColor rgb="FFFCE4DE"/>
        </x:patternFill>
      </x:fill>
    </x:dxf>
    <x:dxf>
      <x:font>
        <x:color rgb="FF7F60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9bda8fba94624" /><Relationship Type="http://schemas.openxmlformats.org/officeDocument/2006/relationships/theme" Target="/xl/theme/theme1.xml" Id="R29456dac35b341ba" /><Relationship Type="http://schemas.openxmlformats.org/officeDocument/2006/relationships/sharedStrings" Target="/xl/sharedStrings.xml" Id="R16c356aa41b64af2" /><Relationship Type="http://schemas.openxmlformats.org/officeDocument/2006/relationships/worksheet" Target="/xl/worksheets/sheet1.xml" Id="R42a89093abff48df" /><Relationship Type="http://schemas.openxmlformats.org/officeDocument/2006/relationships/worksheet" Target="/xl/worksheets/sheet2.xml" Id="R9116210656de4c6b" /><Relationship Type="http://schemas.openxmlformats.org/officeDocument/2006/relationships/worksheet" Target="/xl/worksheets/sheet3.xml" Id="R98f7e1123e184cbd" /><Relationship Type="http://schemas.openxmlformats.org/officeDocument/2006/relationships/worksheet" Target="/xl/worksheets/sheet4.xml" Id="Rb9b9d827c28e4ea2" /><Relationship Type="http://schemas.openxmlformats.org/officeDocument/2006/relationships/worksheet" Target="/xl/worksheets/sheet5.xml" Id="R2c8ebd1788204fb7" /><Relationship Type="http://schemas.openxmlformats.org/officeDocument/2006/relationships/worksheet" Target="/xl/worksheets/sheet6.xml" Id="R9276ff4aad364190" /><Relationship Type="http://schemas.openxmlformats.org/officeDocument/2006/relationships/worksheet" Target="/xl/worksheets/sheet7.xml" Id="Rc9586510d334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8.130000114440918" hidden="0" customWidth="1"/>
    <x:col min="2" max="2" width="29.3799991607666" hidden="0" customWidth="1"/>
    <x:col min="3" max="3" width="28.75" hidden="0" customWidth="1"/>
    <x:col min="4" max="4" width="20" hidden="0" customWidth="1"/>
    <x:col min="5" max="5" width="27.5" hidden="0" customWidth="1"/>
    <x:col min="6" max="6" width="41.25" hidden="0" customWidth="1"/>
    <x:col min="7" max="7" width="36.2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7" t="str">
        <x:v>TaxPearls 真实公开案例（2026-09-21）</x:v>
      </x:c>
      <x:c r="B2" s="2"/>
      <x:c r="C2" s="2"/>
      <x:c r="D2" s="2"/>
      <x:c r="E2" s="2"/>
      <x:c r="F2" s="2"/>
      <x:c r="G2" s="2"/>
    </x:row>
    <x:row r="3" ht="25" customHeight="1">
      <x:c r="A3" s="2" t="str">
        <x:v>6组案例，83项披露数据。完整原始账套0套；全部不可直接导入现有Excel入口。</x:v>
      </x:c>
      <x:c r="B3" s="2"/>
      <x:c r="C3" s="2"/>
      <x:c r="D3" s="2"/>
      <x:c r="E3" s="2"/>
      <x:c r="F3" s="2"/>
      <x:c r="G3" s="2"/>
    </x:row>
    <x:row r="4" ht="25" customHeight="1">
      <x:c r="A4" s="2" t="str">
        <x:v>每组包含官方原件、公开数据JSON与本表专页；缺失值为空，未改写为0。</x:v>
      </x:c>
      <x:c r="B4" s="2"/>
      <x:c r="C4" s="2"/>
      <x:c r="D4" s="2"/>
      <x:c r="E4" s="2"/>
      <x:c r="F4" s="2"/>
      <x:c r="G4" s="2"/>
    </x:row>
    <x:row r="5" ht="25" customHeight="1">
      <x:c r="A5" s="2" t="str">
        <x:v>来源与期次逐项列明。标准金额为元；演示阈值和历史法条不能用于当期法律认定。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32" customHeight="1">
      <x:c r="A7" s="2"/>
      <x:c r="B7" s="2"/>
      <x:c r="C7" s="2"/>
      <x:c r="D7" s="2"/>
      <x:c r="E7" s="2"/>
      <x:c r="F7" s="2"/>
      <x:c r="G7" s="2"/>
    </x:row>
    <x:row r="8" ht="32" customHeight="1">
      <x:c r="A8" s="5" t="str">
        <x:v>编号</x:v>
      </x:c>
      <x:c r="B8" s="5" t="str">
        <x:v>企业</x:v>
      </x:c>
      <x:c r="C8" s="5" t="str">
        <x:v>问题类型</x:v>
      </x:c>
      <x:c r="D8" s="5" t="str">
        <x:v>期间</x:v>
      </x:c>
      <x:c r="E8" s="5" t="str">
        <x:v>对应项目能力</x:v>
      </x:c>
      <x:c r="F8" s="5" t="str">
        <x:v>预期与限制</x:v>
      </x:c>
      <x:c r="G8" s="5" t="str">
        <x:v>完整输入缺项</x:v>
      </x:c>
    </x:row>
    <x:row r="9" ht="82" customHeight="1">
      <x:c r="A9" s="8" t="str">
        <x:v>01</x:v>
      </x:c>
      <x:c r="B9" s="8" t="str">
        <x:v>广东嘉元科技股份有限公司</x:v>
      </x:c>
      <x:c r="C9" s="8" t="str">
        <x:v>税会跨期差异、留抵与转出、原文数值冲突</x:v>
      </x:c>
      <x:c r="D9" s="8" t="str">
        <x:v>2016、2017、2018年度</x:v>
      </x:c>
      <x:c r="E9" s="8" t="str">
        <x:v>FR-A03/A04/A06、R-001；R-003仅算术诊断</x:v>
      </x:c>
      <x:c r="F9" s="8" t="str">
        <x:v>R-001三期均在10%阈值内；R-002缺账面科目须未执行</x:v>
      </x:c>
      <x:c r="G9" s="8" t="str">
        <x:v>科目余额表、单体申报表原件、统一社会信用代码</x:v>
      </x:c>
    </x:row>
    <x:row r="10" ht="82" customHeight="1">
      <x:c r="A10" s="6" t="str">
        <x:v>02</x:v>
      </x:c>
      <x:c r="B10" s="6" t="str">
        <x:v>上海唯都市场营销策划股份有限公司（含上海傲文）</x:v>
      </x:c>
      <x:c r="C10" s="6" t="str">
        <x:v>暂估收入延迟申报、两种测算口径、整改前后</x:v>
      </x:c>
      <x:c r="D10" s="6" t="str">
        <x:v>2019年末、2020年末</x:v>
      </x:c>
      <x:c r="E10" s="6" t="str">
        <x:v>FR-A06/B06/B12、证据解释</x:v>
      </x:c>
      <x:c r="F10" s="6" t="str">
        <x:v>识别曾存在延迟申报事实；保留2021年9月补报及2022年税务证明，不标注已处罚</x:v>
      </x:c>
      <x:c r="G10" s="6" t="str">
        <x:v>全年营业收入与申报销售额配对、原始科目余额表、单体申报表</x:v>
      </x:c>
    </x:row>
    <x:row r="11" ht="82" customHeight="1">
      <x:c r="A11" s="8" t="str">
        <x:v>03</x:v>
      </x:c>
      <x:c r="B11" s="8" t="str">
        <x:v>扬州春风船舶机械制造有限公司</x:v>
      </x:c>
      <x:c r="C11" s="8" t="str">
        <x:v>个人账户隐匿收入、虚增工资人数</x:v>
      </x:c>
      <x:c r="D11" s="8" t="str">
        <x:v>2021—2023年</x:v>
      </x:c>
      <x:c r="E11" s="8" t="str">
        <x:v>FR-B07/A08；R-004缺项语义</x:v>
      </x:c>
      <x:c r="F11" s="8" t="str">
        <x:v>个税申报61人与实际用工36人不符；社保人数未披露，R-004仍应未执行</x:v>
      </x:c>
      <x:c r="G11" s="8" t="str">
        <x:v>账面收入、完整申报表、逐笔银行流水、社保参保人数、税号</x:v>
      </x:c>
    </x:row>
    <x:row r="12" ht="82" customHeight="1">
      <x:c r="A12" s="6" t="str">
        <x:v>04</x:v>
      </x:c>
      <x:c r="B12" s="6" t="str">
        <x:v>安徽星印网络科技有限公司</x:v>
      </x:c>
      <x:c r="C12" s="6" t="str">
        <x:v>关联个体户拆分收入、聚合码私户收款</x:v>
      </x:c>
      <x:c r="D12" s="6" t="str">
        <x:v>2022—2024年</x:v>
      </x:c>
      <x:c r="E12" s="6" t="str">
        <x:v>FR-A08/B07/B09、收入完整性扩展</x:v>
      </x:c>
      <x:c r="F12" s="6" t="str">
        <x:v>查实销售收入减已申报收入应为1856.87万元；R-001缺账面营业收入须未执行</x:v>
      </x:c>
      <x:c r="G12" s="6" t="str">
        <x:v>账面营业收入、逐年申报与逐笔流水、发票明细、完整合同、税号</x:v>
      </x:c>
    </x:row>
    <x:row r="13" ht="82" customHeight="1">
      <x:c r="A13" s="8" t="str">
        <x:v>05</x:v>
      </x:c>
      <x:c r="B13" s="8" t="str">
        <x:v>西藏慧业医药科技有限公司</x:v>
      </x:c>
      <x:c r="C13" s="8" t="str">
        <x:v>外购技术冒充研发、委托研发基数错误、关联重复扣除</x:v>
      </x:c>
      <x:c r="D13" s="8" t="str">
        <x:v>2020—2023年</x:v>
      </x:c>
      <x:c r="E13" s="8" t="str">
        <x:v>FR-A11/B07/B09，研发扣除扩展</x:v>
      </x:c>
      <x:c r="F13" s="8" t="str">
        <x:v>保留合同与发票技术转让实质、100%与80%基数差异；当前四规则均不能独立识别</x:v>
      </x:c>
      <x:c r="G13" s="8" t="str">
        <x:v>完整研发辅助账、合同原件、发票行明细、年度所得税申报表、税号</x:v>
      </x:c>
    </x:row>
    <x:row r="14" ht="82" customHeight="1">
      <x:c r="A14" s="6" t="str">
        <x:v>06</x:v>
      </x:c>
      <x:c r="B14" s="6" t="str">
        <x:v>鄂尔多斯市隆旭煤炭有限责任公司</x:v>
      </x:c>
      <x:c r="C14" s="6" t="str">
        <x:v>虚开发票抵扣、资金回流、源文前后冲突</x:v>
      </x:c>
      <x:c r="D14" s="6" t="str">
        <x:v>2011—2012年</x:v>
      </x:c>
      <x:c r="E14" s="6" t="str">
        <x:v>FR-A03/A07/B07、发票批次核验</x:v>
      </x:c>
      <x:c r="F14" s="6" t="str">
        <x:v>采用增值税分项段落可复算263份及4437123.02元；冲突字段留待复核</x:v>
      </x:c>
      <x:c r="G14" s="6" t="str">
        <x:v>全部发票逐张记录、账套、完整申报表、银行逐笔流水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01-嘉元科技  广东嘉元科技股份有限公司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原始来源：https://static.sse.com.cn/stock/disclosure/announcement/c/201905/000116_20190530_70V5.pdf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数据边界：来源是申报材料汇总且剔除合并关联方影响，不是单体账套。R-003固定区间是商贸演示值，不能据此认定制造业税负合规。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测试预期：R-001三期均在10%阈值内；R-002缺账面科目须未执行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科目余额表、单体申报表原件、统一社会信用代码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2016</x:v>
      </x:c>
      <x:c r="B9" s="8" t="str">
        <x:v>申报材料营业收入</x:v>
      </x:c>
      <x:c r="C9" s="13" t="n">
        <x:v>41877.41</x:v>
      </x:c>
      <x:c r="D9" s="8" t="str">
        <x:v>万元</x:v>
      </x:c>
      <x:c r="E9" s="13" t="n">
        <x:f>C9*10000</x:f>
        <x:v>418774100.00000006</x:v>
      </x:c>
      <x:c r="F9" s="8" t="str">
        <x:v>元</x:v>
      </x:c>
      <x:c r="G9" s="8" t="str">
        <x:v>PDF第86页（8-1-86）</x:v>
      </x:c>
      <x:c r="H9" s="8" t="str">
        <x:v>营业收入</x:v>
      </x:c>
      <x:c r="I9" s="8" t="str">
        <x:v>可用</x:v>
      </x:c>
      <x:c r="J9" s="8" t="str">
        <x:v>披露汇总口径；非单体原始表</x:v>
      </x:c>
    </x:row>
    <x:row r="10" ht="48" customHeight="1">
      <x:c r="A10" s="6" t="str">
        <x:v>2016</x:v>
      </x:c>
      <x:c r="B10" s="6" t="str">
        <x:v>申报表计入营业收入合计</x:v>
      </x:c>
      <x:c r="C10" s="12" t="n">
        <x:v>42509.93</x:v>
      </x:c>
      <x:c r="D10" s="6" t="str">
        <x:v>万元</x:v>
      </x:c>
      <x:c r="E10" s="12" t="n">
        <x:f>C10*10000</x:f>
        <x:v>425099300</x:v>
      </x:c>
      <x:c r="F10" s="6" t="str">
        <x:v>元</x:v>
      </x:c>
      <x:c r="G10" s="6" t="str">
        <x:v>PDF第86页（8-1-86）</x:v>
      </x:c>
      <x:c r="H10" s="6" t="str">
        <x:v>增值税.销售额</x:v>
      </x:c>
      <x:c r="I10" s="6" t="str">
        <x:v>可用</x:v>
      </x:c>
      <x:c r="J10" s="6" t="str">
        <x:v>披露汇总口径；非单体原始表</x:v>
      </x:c>
    </x:row>
    <x:row r="11" ht="48" customHeight="1">
      <x:c r="A11" s="8" t="str">
        <x:v>2016</x:v>
      </x:c>
      <x:c r="B11" s="8" t="str">
        <x:v>销项税额</x:v>
      </x:c>
      <x:c r="C11" s="13" t="n">
        <x:v>7226.69</x:v>
      </x:c>
      <x:c r="D11" s="8" t="str">
        <x:v>万元</x:v>
      </x:c>
      <x:c r="E11" s="13" t="n">
        <x:f>C11*10000</x:f>
        <x:v>72266900</x:v>
      </x:c>
      <x:c r="F11" s="8" t="str">
        <x:v>元</x:v>
      </x:c>
      <x:c r="G11" s="8" t="str">
        <x:v>PDF第86页（8-1-86）</x:v>
      </x:c>
      <x:c r="H11" s="8" t="str">
        <x:v>增值税.销项税额</x:v>
      </x:c>
      <x:c r="I11" s="8" t="str">
        <x:v>可用</x:v>
      </x:c>
      <x:c r="J11" s="8" t="str">
        <x:v>披露汇总口径；非单体原始表</x:v>
      </x:c>
    </x:row>
    <x:row r="12" ht="48" customHeight="1">
      <x:c r="A12" s="6" t="str">
        <x:v>2016</x:v>
      </x:c>
      <x:c r="B12" s="6" t="str">
        <x:v>进项税额</x:v>
      </x:c>
      <x:c r="C12" s="12" t="n">
        <x:v>5606.26</x:v>
      </x:c>
      <x:c r="D12" s="6" t="str">
        <x:v>万元</x:v>
      </x:c>
      <x:c r="E12" s="12" t="n">
        <x:f>C12*10000</x:f>
        <x:v>56062600</x:v>
      </x:c>
      <x:c r="F12" s="6" t="str">
        <x:v>元</x:v>
      </x:c>
      <x:c r="G12" s="6" t="str">
        <x:v>PDF第86页（8-1-86）</x:v>
      </x:c>
      <x:c r="H12" s="6" t="str">
        <x:v>增值税.进项税额</x:v>
      </x:c>
      <x:c r="I12" s="6" t="str">
        <x:v>可用</x:v>
      </x:c>
      <x:c r="J12" s="6" t="str">
        <x:v>披露汇总口径；非单体原始表</x:v>
      </x:c>
    </x:row>
    <x:row r="13" ht="48" customHeight="1">
      <x:c r="A13" s="8" t="str">
        <x:v>2016</x:v>
      </x:c>
      <x:c r="B13" s="8" t="str">
        <x:v>进项税额转出</x:v>
      </x:c>
      <x:c r="C13" s="13" t="n">
        <x:v>0.43</x:v>
      </x:c>
      <x:c r="D13" s="8" t="str">
        <x:v>万元</x:v>
      </x:c>
      <x:c r="E13" s="13" t="n">
        <x:f>C13*10000</x:f>
        <x:v>4300</x:v>
      </x:c>
      <x:c r="F13" s="8" t="str">
        <x:v>元</x:v>
      </x:c>
      <x:c r="G13" s="8" t="str">
        <x:v>PDF第86页（8-1-86）</x:v>
      </x:c>
      <x:c r="H13" s="8" t="str">
        <x:v>不直接映射</x:v>
      </x:c>
      <x:c r="I13" s="8" t="str">
        <x:v>可用</x:v>
      </x:c>
      <x:c r="J13" s="8" t="str">
        <x:v>披露汇总口径；非单体原始表</x:v>
      </x:c>
    </x:row>
    <x:row r="14" ht="48" customHeight="1">
      <x:c r="A14" s="6" t="str">
        <x:v>2016</x:v>
      </x:c>
      <x:c r="B14" s="6" t="str">
        <x:v>上期留抵税金</x:v>
      </x:c>
      <x:c r="C14" s="12"/>
      <x:c r="D14" s="6" t="str">
        <x:v>万元</x:v>
      </x:c>
      <x:c r="E14" s="12"/>
      <x:c r="F14" s="6" t="str">
        <x:v>元</x:v>
      </x:c>
      <x:c r="G14" s="6" t="str">
        <x:v>PDF第86页（8-1-86）</x:v>
      </x:c>
      <x:c r="H14" s="6" t="str">
        <x:v>不直接映射</x:v>
      </x:c>
      <x:c r="I14" s="6" t="str">
        <x:v>原文横杠</x:v>
      </x:c>
      <x:c r="J14" s="6" t="str">
        <x:v>原表为横杠，未擅自转成0</x:v>
      </x:c>
    </x:row>
    <x:row r="15" ht="48" customHeight="1">
      <x:c r="A15" s="8" t="str">
        <x:v>2016</x:v>
      </x:c>
      <x:c r="B15" s="8" t="str">
        <x:v>本期应交增值税</x:v>
      </x:c>
      <x:c r="C15" s="13" t="n">
        <x:v>1620.86</x:v>
      </x:c>
      <x:c r="D15" s="8" t="str">
        <x:v>万元</x:v>
      </x:c>
      <x:c r="E15" s="13" t="n">
        <x:f>C15*10000</x:f>
        <x:v>16208599.999999998</x:v>
      </x:c>
      <x:c r="F15" s="8" t="str">
        <x:v>元</x:v>
      </x:c>
      <x:c r="G15" s="8" t="str">
        <x:v>PDF第86页（8-1-86）</x:v>
      </x:c>
      <x:c r="H15" s="8" t="str">
        <x:v>增值税.应纳税额</x:v>
      </x:c>
      <x:c r="I15" s="8" t="str">
        <x:v>可用</x:v>
      </x:c>
      <x:c r="J15" s="8" t="str">
        <x:v>披露汇总口径；非单体原始表</x:v>
      </x:c>
    </x:row>
    <x:row r="16" ht="48" customHeight="1">
      <x:c r="A16" s="6" t="str">
        <x:v>2016</x:v>
      </x:c>
      <x:c r="B16" s="6" t="str">
        <x:v>实际缴纳的增值税</x:v>
      </x:c>
      <x:c r="C16" s="12" t="n">
        <x:v>1626.5</x:v>
      </x:c>
      <x:c r="D16" s="6" t="str">
        <x:v>万元</x:v>
      </x:c>
      <x:c r="E16" s="12" t="n">
        <x:f>C16*10000</x:f>
        <x:v>16265000</x:v>
      </x:c>
      <x:c r="F16" s="6" t="str">
        <x:v>元</x:v>
      </x:c>
      <x:c r="G16" s="6" t="str">
        <x:v>PDF第86页（8-1-86）</x:v>
      </x:c>
      <x:c r="H16" s="6" t="str">
        <x:v>不直接映射</x:v>
      </x:c>
      <x:c r="I16" s="6" t="str">
        <x:v>可用</x:v>
      </x:c>
      <x:c r="J16" s="6" t="str">
        <x:v>披露汇总口径；非单体原始表</x:v>
      </x:c>
    </x:row>
    <x:row r="17" ht="48" customHeight="1">
      <x:c r="A17" s="8" t="str">
        <x:v>2016</x:v>
      </x:c>
      <x:c r="B17" s="8" t="str">
        <x:v>期末留抵税金</x:v>
      </x:c>
      <x:c r="C17" s="13"/>
      <x:c r="D17" s="8" t="str">
        <x:v>万元</x:v>
      </x:c>
      <x:c r="E17" s="13"/>
      <x:c r="F17" s="8" t="str">
        <x:v>元</x:v>
      </x:c>
      <x:c r="G17" s="8" t="str">
        <x:v>PDF第86页（8-1-86）</x:v>
      </x:c>
      <x:c r="H17" s="8" t="str">
        <x:v>增值税.期末留抵税额</x:v>
      </x:c>
      <x:c r="I17" s="8" t="str">
        <x:v>原文横杠</x:v>
      </x:c>
      <x:c r="J17" s="8" t="str">
        <x:v>原表为横杠，未擅自转成0</x:v>
      </x:c>
    </x:row>
    <x:row r="18" ht="48" customHeight="1">
      <x:c r="A18" s="6" t="str">
        <x:v>2016</x:v>
      </x:c>
      <x:c r="B18" s="6" t="str">
        <x:v>收入与申报差额（披露）</x:v>
      </x:c>
      <x:c r="C18" s="12" t="n">
        <x:v>-632.52</x:v>
      </x:c>
      <x:c r="D18" s="6" t="str">
        <x:v>万元</x:v>
      </x:c>
      <x:c r="E18" s="12" t="n">
        <x:f>C18*10000</x:f>
        <x:v>-6325200</x:v>
      </x:c>
      <x:c r="F18" s="6" t="str">
        <x:v>元</x:v>
      </x:c>
      <x:c r="G18" s="6" t="str">
        <x:v>PDF第86页（8-1-86）</x:v>
      </x:c>
      <x:c r="H18" s="6" t="str">
        <x:v>不直接映射</x:v>
      </x:c>
      <x:c r="I18" s="6" t="str">
        <x:v>可用</x:v>
      </x:c>
      <x:c r="J18" s="6" t="str">
        <x:v>披露汇总口径；非单体原始表</x:v>
      </x:c>
    </x:row>
    <x:row r="19" ht="48" customHeight="1">
      <x:c r="A19" s="8" t="str">
        <x:v>2017</x:v>
      </x:c>
      <x:c r="B19" s="8" t="str">
        <x:v>申报材料营业收入</x:v>
      </x:c>
      <x:c r="C19" s="13" t="n">
        <x:v>56622.86</x:v>
      </x:c>
      <x:c r="D19" s="8" t="str">
        <x:v>万元</x:v>
      </x:c>
      <x:c r="E19" s="13" t="n">
        <x:f>C19*10000</x:f>
        <x:v>566228600</x:v>
      </x:c>
      <x:c r="F19" s="8" t="str">
        <x:v>元</x:v>
      </x:c>
      <x:c r="G19" s="8" t="str">
        <x:v>PDF第86页（8-1-86）</x:v>
      </x:c>
      <x:c r="H19" s="8" t="str">
        <x:v>营业收入</x:v>
      </x:c>
      <x:c r="I19" s="8" t="str">
        <x:v>可用</x:v>
      </x:c>
      <x:c r="J19" s="8" t="str">
        <x:v>披露汇总口径；非单体原始表</x:v>
      </x:c>
    </x:row>
    <x:row r="20" ht="48" customHeight="1">
      <x:c r="A20" s="6" t="str">
        <x:v>2017</x:v>
      </x:c>
      <x:c r="B20" s="6" t="str">
        <x:v>申报表计入营业收入合计</x:v>
      </x:c>
      <x:c r="C20" s="12" t="n">
        <x:v>56586.59</x:v>
      </x:c>
      <x:c r="D20" s="6" t="str">
        <x:v>万元</x:v>
      </x:c>
      <x:c r="E20" s="12" t="n">
        <x:f>C20*10000</x:f>
        <x:v>565865900</x:v>
      </x:c>
      <x:c r="F20" s="6" t="str">
        <x:v>元</x:v>
      </x:c>
      <x:c r="G20" s="6" t="str">
        <x:v>PDF第86页（8-1-86）</x:v>
      </x:c>
      <x:c r="H20" s="6" t="str">
        <x:v>增值税.销售额</x:v>
      </x:c>
      <x:c r="I20" s="6" t="str">
        <x:v>可用</x:v>
      </x:c>
      <x:c r="J20" s="6" t="str">
        <x:v>披露汇总口径；非单体原始表</x:v>
      </x:c>
    </x:row>
    <x:row r="21" ht="48" customHeight="1">
      <x:c r="A21" s="8" t="str">
        <x:v>2017</x:v>
      </x:c>
      <x:c r="B21" s="8" t="str">
        <x:v>销项税额</x:v>
      </x:c>
      <x:c r="C21" s="13" t="n">
        <x:v>9619.72</x:v>
      </x:c>
      <x:c r="D21" s="8" t="str">
        <x:v>万元</x:v>
      </x:c>
      <x:c r="E21" s="13" t="n">
        <x:f>C21*10000</x:f>
        <x:v>96197200</x:v>
      </x:c>
      <x:c r="F21" s="8" t="str">
        <x:v>元</x:v>
      </x:c>
      <x:c r="G21" s="8" t="str">
        <x:v>PDF第86页（8-1-86）</x:v>
      </x:c>
      <x:c r="H21" s="8" t="str">
        <x:v>增值税.销项税额</x:v>
      </x:c>
      <x:c r="I21" s="8" t="str">
        <x:v>可用</x:v>
      </x:c>
      <x:c r="J21" s="8" t="str">
        <x:v>披露汇总口径；非单体原始表</x:v>
      </x:c>
    </x:row>
    <x:row r="22" ht="48" customHeight="1">
      <x:c r="A22" s="6" t="str">
        <x:v>2017</x:v>
      </x:c>
      <x:c r="B22" s="6" t="str">
        <x:v>进项税额</x:v>
      </x:c>
      <x:c r="C22" s="12" t="n">
        <x:v>8891.6</x:v>
      </x:c>
      <x:c r="D22" s="6" t="str">
        <x:v>万元</x:v>
      </x:c>
      <x:c r="E22" s="12" t="n">
        <x:f>C22*10000</x:f>
        <x:v>88916000</x:v>
      </x:c>
      <x:c r="F22" s="6" t="str">
        <x:v>元</x:v>
      </x:c>
      <x:c r="G22" s="6" t="str">
        <x:v>PDF第86页（8-1-86）</x:v>
      </x:c>
      <x:c r="H22" s="6" t="str">
        <x:v>增值税.进项税额</x:v>
      </x:c>
      <x:c r="I22" s="6" t="str">
        <x:v>可用</x:v>
      </x:c>
      <x:c r="J22" s="6" t="str">
        <x:v>披露汇总口径；非单体原始表</x:v>
      </x:c>
    </x:row>
    <x:row r="23" ht="48" customHeight="1">
      <x:c r="A23" s="8" t="str">
        <x:v>2017</x:v>
      </x:c>
      <x:c r="B23" s="8" t="str">
        <x:v>进项税额转出</x:v>
      </x:c>
      <x:c r="C23" s="13" t="n">
        <x:v>14.2</x:v>
      </x:c>
      <x:c r="D23" s="8" t="str">
        <x:v>万元</x:v>
      </x:c>
      <x:c r="E23" s="13" t="n">
        <x:f>C23*10000</x:f>
        <x:v>142000</x:v>
      </x:c>
      <x:c r="F23" s="8" t="str">
        <x:v>元</x:v>
      </x:c>
      <x:c r="G23" s="8" t="str">
        <x:v>PDF第86页（8-1-86）</x:v>
      </x:c>
      <x:c r="H23" s="8" t="str">
        <x:v>不直接映射</x:v>
      </x:c>
      <x:c r="I23" s="8" t="str">
        <x:v>可用</x:v>
      </x:c>
      <x:c r="J23" s="8" t="str">
        <x:v>披露汇总口径；非单体原始表</x:v>
      </x:c>
    </x:row>
    <x:row r="24" ht="48" customHeight="1">
      <x:c r="A24" s="6" t="str">
        <x:v>2017</x:v>
      </x:c>
      <x:c r="B24" s="6" t="str">
        <x:v>上期留抵税金</x:v>
      </x:c>
      <x:c r="C24" s="12"/>
      <x:c r="D24" s="6" t="str">
        <x:v>万元</x:v>
      </x:c>
      <x:c r="E24" s="12"/>
      <x:c r="F24" s="6" t="str">
        <x:v>元</x:v>
      </x:c>
      <x:c r="G24" s="6" t="str">
        <x:v>PDF第86页（8-1-86）</x:v>
      </x:c>
      <x:c r="H24" s="6" t="str">
        <x:v>不直接映射</x:v>
      </x:c>
      <x:c r="I24" s="6" t="str">
        <x:v>原文横杠</x:v>
      </x:c>
      <x:c r="J24" s="6" t="str">
        <x:v>原表为横杠，未擅自转成0</x:v>
      </x:c>
    </x:row>
    <x:row r="25" ht="48" customHeight="1">
      <x:c r="A25" s="8" t="str">
        <x:v>2017</x:v>
      </x:c>
      <x:c r="B25" s="8" t="str">
        <x:v>本期应交增值税</x:v>
      </x:c>
      <x:c r="C25" s="13" t="n">
        <x:v>742.32</x:v>
      </x:c>
      <x:c r="D25" s="8" t="str">
        <x:v>万元</x:v>
      </x:c>
      <x:c r="E25" s="13" t="n">
        <x:f>C25*10000</x:f>
        <x:v>7423200.000000001</x:v>
      </x:c>
      <x:c r="F25" s="8" t="str">
        <x:v>元</x:v>
      </x:c>
      <x:c r="G25" s="8" t="str">
        <x:v>PDF第86页（8-1-86）</x:v>
      </x:c>
      <x:c r="H25" s="8" t="str">
        <x:v>增值税.应纳税额</x:v>
      </x:c>
      <x:c r="I25" s="8" t="str">
        <x:v>可用</x:v>
      </x:c>
      <x:c r="J25" s="8" t="str">
        <x:v>披露汇总口径；非单体原始表</x:v>
      </x:c>
    </x:row>
    <x:row r="26" ht="48" customHeight="1">
      <x:c r="A26" s="6" t="str">
        <x:v>2017</x:v>
      </x:c>
      <x:c r="B26" s="6" t="str">
        <x:v>实际缴纳的增值税</x:v>
      </x:c>
      <x:c r="C26" s="12" t="n">
        <x:v>1777.9</x:v>
      </x:c>
      <x:c r="D26" s="6" t="str">
        <x:v>万元</x:v>
      </x:c>
      <x:c r="E26" s="12" t="n">
        <x:f>C26*10000</x:f>
        <x:v>17779000</x:v>
      </x:c>
      <x:c r="F26" s="6" t="str">
        <x:v>元</x:v>
      </x:c>
      <x:c r="G26" s="6" t="str">
        <x:v>PDF第86页（8-1-86）</x:v>
      </x:c>
      <x:c r="H26" s="6" t="str">
        <x:v>不直接映射</x:v>
      </x:c>
      <x:c r="I26" s="6" t="str">
        <x:v>可用</x:v>
      </x:c>
      <x:c r="J26" s="6" t="str">
        <x:v>披露汇总口径；非单体原始表</x:v>
      </x:c>
    </x:row>
    <x:row r="27" ht="48" customHeight="1">
      <x:c r="A27" s="8" t="str">
        <x:v>2017</x:v>
      </x:c>
      <x:c r="B27" s="8" t="str">
        <x:v>期末留抵税金</x:v>
      </x:c>
      <x:c r="C27" s="13" t="n">
        <x:v>960.25</x:v>
      </x:c>
      <x:c r="D27" s="8" t="str">
        <x:v>万元</x:v>
      </x:c>
      <x:c r="E27" s="13" t="n">
        <x:f>C27*10000</x:f>
        <x:v>9602500</x:v>
      </x:c>
      <x:c r="F27" s="8" t="str">
        <x:v>元</x:v>
      </x:c>
      <x:c r="G27" s="8" t="str">
        <x:v>PDF第86页（8-1-86）</x:v>
      </x:c>
      <x:c r="H27" s="8" t="str">
        <x:v>增值税.期末留抵税额</x:v>
      </x:c>
      <x:c r="I27" s="8" t="str">
        <x:v>可用</x:v>
      </x:c>
      <x:c r="J27" s="8" t="str">
        <x:v>披露汇总口径；非单体原始表</x:v>
      </x:c>
    </x:row>
    <x:row r="28" ht="48" customHeight="1">
      <x:c r="A28" s="6" t="str">
        <x:v>2017</x:v>
      </x:c>
      <x:c r="B28" s="6" t="str">
        <x:v>收入与申报差额（披露）</x:v>
      </x:c>
      <x:c r="C28" s="12" t="n">
        <x:v>36.27</x:v>
      </x:c>
      <x:c r="D28" s="6" t="str">
        <x:v>万元</x:v>
      </x:c>
      <x:c r="E28" s="12" t="n">
        <x:f>C28*10000</x:f>
        <x:v>362700.00000000006</x:v>
      </x:c>
      <x:c r="F28" s="6" t="str">
        <x:v>元</x:v>
      </x:c>
      <x:c r="G28" s="6" t="str">
        <x:v>PDF第86页（8-1-86）</x:v>
      </x:c>
      <x:c r="H28" s="6" t="str">
        <x:v>不直接映射</x:v>
      </x:c>
      <x:c r="I28" s="6" t="str">
        <x:v>可用</x:v>
      </x:c>
      <x:c r="J28" s="6" t="str">
        <x:v>披露汇总口径；非单体原始表</x:v>
      </x:c>
    </x:row>
    <x:row r="29" ht="48" customHeight="1">
      <x:c r="A29" s="8" t="str">
        <x:v>2018</x:v>
      </x:c>
      <x:c r="B29" s="8" t="str">
        <x:v>申报材料营业收入</x:v>
      </x:c>
      <x:c r="C29" s="13" t="n">
        <x:v>115330.56</x:v>
      </x:c>
      <x:c r="D29" s="8" t="str">
        <x:v>万元</x:v>
      </x:c>
      <x:c r="E29" s="13" t="n">
        <x:f>C29*10000</x:f>
        <x:v>1153305600</x:v>
      </x:c>
      <x:c r="F29" s="8" t="str">
        <x:v>元</x:v>
      </x:c>
      <x:c r="G29" s="8" t="str">
        <x:v>PDF第86页（8-1-86）</x:v>
      </x:c>
      <x:c r="H29" s="8" t="str">
        <x:v>营业收入</x:v>
      </x:c>
      <x:c r="I29" s="8" t="str">
        <x:v>可用</x:v>
      </x:c>
      <x:c r="J29" s="8" t="str">
        <x:v>披露汇总口径；非单体原始表</x:v>
      </x:c>
    </x:row>
    <x:row r="30" ht="48" customHeight="1">
      <x:c r="A30" s="6" t="str">
        <x:v>2018</x:v>
      </x:c>
      <x:c r="B30" s="6" t="str">
        <x:v>申报表计入营业收入合计</x:v>
      </x:c>
      <x:c r="C30" s="12" t="n">
        <x:v>115048.98</x:v>
      </x:c>
      <x:c r="D30" s="6" t="str">
        <x:v>万元</x:v>
      </x:c>
      <x:c r="E30" s="12" t="n">
        <x:f>C30*10000</x:f>
        <x:v>1150489800</x:v>
      </x:c>
      <x:c r="F30" s="6" t="str">
        <x:v>元</x:v>
      </x:c>
      <x:c r="G30" s="6" t="str">
        <x:v>PDF第86页（8-1-86）</x:v>
      </x:c>
      <x:c r="H30" s="6" t="str">
        <x:v>增值税.销售额</x:v>
      </x:c>
      <x:c r="I30" s="6" t="str">
        <x:v>可用</x:v>
      </x:c>
      <x:c r="J30" s="6" t="str">
        <x:v>披露汇总口径；非单体原始表</x:v>
      </x:c>
    </x:row>
    <x:row r="31" ht="48" customHeight="1">
      <x:c r="A31" s="8" t="str">
        <x:v>2018</x:v>
      </x:c>
      <x:c r="B31" s="8" t="str">
        <x:v>销项税额</x:v>
      </x:c>
      <x:c r="C31" s="13" t="n">
        <x:v>18684.95</x:v>
      </x:c>
      <x:c r="D31" s="8" t="str">
        <x:v>万元</x:v>
      </x:c>
      <x:c r="E31" s="13" t="n">
        <x:f>C31*10000</x:f>
        <x:v>186849500</x:v>
      </x:c>
      <x:c r="F31" s="8" t="str">
        <x:v>元</x:v>
      </x:c>
      <x:c r="G31" s="8" t="str">
        <x:v>PDF第86页（8-1-86）</x:v>
      </x:c>
      <x:c r="H31" s="8" t="str">
        <x:v>增值税.销项税额</x:v>
      </x:c>
      <x:c r="I31" s="8" t="str">
        <x:v>可用</x:v>
      </x:c>
      <x:c r="J31" s="8" t="str">
        <x:v>披露汇总口径；非单体原始表</x:v>
      </x:c>
    </x:row>
    <x:row r="32" ht="48" customHeight="1">
      <x:c r="A32" s="6" t="str">
        <x:v>2018</x:v>
      </x:c>
      <x:c r="B32" s="6" t="str">
        <x:v>进项税额</x:v>
      </x:c>
      <x:c r="C32" s="12" t="n">
        <x:v>15383</x:v>
      </x:c>
      <x:c r="D32" s="6" t="str">
        <x:v>万元</x:v>
      </x:c>
      <x:c r="E32" s="12" t="n">
        <x:f>C32*10000</x:f>
        <x:v>153830000</x:v>
      </x:c>
      <x:c r="F32" s="6" t="str">
        <x:v>元</x:v>
      </x:c>
      <x:c r="G32" s="6" t="str">
        <x:v>PDF第86页（8-1-86）</x:v>
      </x:c>
      <x:c r="H32" s="6" t="str">
        <x:v>增值税.进项税额</x:v>
      </x:c>
      <x:c r="I32" s="6" t="str">
        <x:v>可用</x:v>
      </x:c>
      <x:c r="J32" s="6" t="str">
        <x:v>披露汇总口径；非单体原始表</x:v>
      </x:c>
    </x:row>
    <x:row r="33" ht="48" customHeight="1">
      <x:c r="A33" s="8" t="str">
        <x:v>2018</x:v>
      </x:c>
      <x:c r="B33" s="8" t="str">
        <x:v>进项税额转出</x:v>
      </x:c>
      <x:c r="C33" s="13" t="n">
        <x:v>25.22</x:v>
      </x:c>
      <x:c r="D33" s="8" t="str">
        <x:v>万元</x:v>
      </x:c>
      <x:c r="E33" s="13" t="n">
        <x:f>C33*10000</x:f>
        <x:v>252200</x:v>
      </x:c>
      <x:c r="F33" s="8" t="str">
        <x:v>元</x:v>
      </x:c>
      <x:c r="G33" s="8" t="str">
        <x:v>PDF第86页（8-1-86）</x:v>
      </x:c>
      <x:c r="H33" s="8" t="str">
        <x:v>不直接映射</x:v>
      </x:c>
      <x:c r="I33" s="8" t="str">
        <x:v>可用</x:v>
      </x:c>
      <x:c r="J33" s="8" t="str">
        <x:v>披露汇总口径；非单体原始表</x:v>
      </x:c>
    </x:row>
    <x:row r="34" ht="48" customHeight="1">
      <x:c r="A34" s="6" t="str">
        <x:v>2018</x:v>
      </x:c>
      <x:c r="B34" s="6" t="str">
        <x:v>上期留抵税金</x:v>
      </x:c>
      <x:c r="C34" s="12" t="n">
        <x:v>960.25</x:v>
      </x:c>
      <x:c r="D34" s="6" t="str">
        <x:v>万元</x:v>
      </x:c>
      <x:c r="E34" s="12" t="n">
        <x:f>C34*10000</x:f>
        <x:v>9602500</x:v>
      </x:c>
      <x:c r="F34" s="6" t="str">
        <x:v>元</x:v>
      </x:c>
      <x:c r="G34" s="6" t="str">
        <x:v>PDF第86页（8-1-86）</x:v>
      </x:c>
      <x:c r="H34" s="6" t="str">
        <x:v>不直接映射</x:v>
      </x:c>
      <x:c r="I34" s="6" t="str">
        <x:v>可用</x:v>
      </x:c>
      <x:c r="J34" s="6" t="str">
        <x:v>披露汇总口径；非单体原始表</x:v>
      </x:c>
    </x:row>
    <x:row r="35" ht="48" customHeight="1">
      <x:c r="A35" s="8" t="str">
        <x:v>2018</x:v>
      </x:c>
      <x:c r="B35" s="8" t="str">
        <x:v>本期应交增值税</x:v>
      </x:c>
      <x:c r="C35" s="13" t="n">
        <x:v>2366.92</x:v>
      </x:c>
      <x:c r="D35" s="8" t="str">
        <x:v>万元</x:v>
      </x:c>
      <x:c r="E35" s="13" t="n">
        <x:f>C35*10000</x:f>
        <x:v>23669200</x:v>
      </x:c>
      <x:c r="F35" s="8" t="str">
        <x:v>元</x:v>
      </x:c>
      <x:c r="G35" s="8" t="str">
        <x:v>PDF第86页（8-1-86）</x:v>
      </x:c>
      <x:c r="H35" s="8" t="str">
        <x:v>增值税.应纳税额</x:v>
      </x:c>
      <x:c r="I35" s="8" t="str">
        <x:v>可用</x:v>
      </x:c>
      <x:c r="J35" s="8" t="str">
        <x:v>披露汇总口径；非单体原始表</x:v>
      </x:c>
    </x:row>
    <x:row r="36" ht="48" customHeight="1">
      <x:c r="A36" s="6" t="str">
        <x:v>2018</x:v>
      </x:c>
      <x:c r="B36" s="6" t="str">
        <x:v>实际缴纳的增值税</x:v>
      </x:c>
      <x:c r="C36" s="12" t="n">
        <x:v>1989.48</x:v>
      </x:c>
      <x:c r="D36" s="6" t="str">
        <x:v>万元</x:v>
      </x:c>
      <x:c r="E36" s="12" t="n">
        <x:f>C36*10000</x:f>
        <x:v>19894800</x:v>
      </x:c>
      <x:c r="F36" s="6" t="str">
        <x:v>元</x:v>
      </x:c>
      <x:c r="G36" s="6" t="str">
        <x:v>PDF第86页（8-1-86）</x:v>
      </x:c>
      <x:c r="H36" s="6" t="str">
        <x:v>不直接映射</x:v>
      </x:c>
      <x:c r="I36" s="6" t="str">
        <x:v>可用</x:v>
      </x:c>
      <x:c r="J36" s="6" t="str">
        <x:v>披露汇总口径；非单体原始表</x:v>
      </x:c>
    </x:row>
    <x:row r="37" ht="48" customHeight="1">
      <x:c r="A37" s="8" t="str">
        <x:v>2018</x:v>
      </x:c>
      <x:c r="B37" s="8" t="str">
        <x:v>期末留抵税金</x:v>
      </x:c>
      <x:c r="C37" s="13"/>
      <x:c r="D37" s="8" t="str">
        <x:v>万元</x:v>
      </x:c>
      <x:c r="E37" s="13"/>
      <x:c r="F37" s="8" t="str">
        <x:v>元</x:v>
      </x:c>
      <x:c r="G37" s="8" t="str">
        <x:v>PDF第86页（8-1-86）</x:v>
      </x:c>
      <x:c r="H37" s="8" t="str">
        <x:v>增值税.期末留抵税额</x:v>
      </x:c>
      <x:c r="I37" s="8" t="str">
        <x:v>原文横杠</x:v>
      </x:c>
      <x:c r="J37" s="8" t="str">
        <x:v>原表为横杠，未擅自转成0</x:v>
      </x:c>
    </x:row>
    <x:row r="38" ht="48" customHeight="1">
      <x:c r="A38" s="6" t="str">
        <x:v>2018</x:v>
      </x:c>
      <x:c r="B38" s="6" t="str">
        <x:v>收入与申报差额（披露）</x:v>
      </x:c>
      <x:c r="C38" s="12" t="n">
        <x:v>281.58</x:v>
      </x:c>
      <x:c r="D38" s="6" t="str">
        <x:v>万元</x:v>
      </x:c>
      <x:c r="E38" s="12" t="n">
        <x:f>C38*10000</x:f>
        <x:v>2815800</x:v>
      </x:c>
      <x:c r="F38" s="6" t="str">
        <x:v>元</x:v>
      </x:c>
      <x:c r="G38" s="6" t="str">
        <x:v>PDF第86页（8-1-86）</x:v>
      </x:c>
      <x:c r="H38" s="6" t="str">
        <x:v>不直接映射</x:v>
      </x:c>
      <x:c r="I38" s="6" t="str">
        <x:v>可用</x:v>
      </x:c>
      <x:c r="J38" s="6" t="str">
        <x:v>披露汇总口径；非单体原始表</x:v>
      </x:c>
    </x:row>
    <x:row r="39" ht="48" customHeight="1">
      <x:c r="A39" s="8" t="str">
        <x:v>2016</x:v>
      </x:c>
      <x:c r="B39" s="8" t="str">
        <x:v>下期收入本期开票（表格）</x:v>
      </x:c>
      <x:c r="C39" s="13" t="n">
        <x:v>-82.32</x:v>
      </x:c>
      <x:c r="D39" s="8" t="str">
        <x:v>万元</x:v>
      </x:c>
      <x:c r="E39" s="13" t="n">
        <x:f>C39*10000</x:f>
        <x:v>-823199.9999999999</x:v>
      </x:c>
      <x:c r="F39" s="8" t="str">
        <x:v>元</x:v>
      </x:c>
      <x:c r="G39" s="8" t="str">
        <x:v>PDF第87页表格</x:v>
      </x:c>
      <x:c r="H39" s="8" t="str">
        <x:v>不直接映射</x:v>
      </x:c>
      <x:c r="I39" s="8" t="str">
        <x:v>原文冲突</x:v>
      </x:c>
      <x:c r="J39" s="8" t="str">
        <x:v>正文为82.23万元，均保留，不作为自动判定输入</x:v>
      </x:c>
    </x:row>
    <x:row r="40" ht="48" customHeight="1">
      <x:c r="A40" s="6" t="str">
        <x:v>2016</x:v>
      </x:c>
      <x:c r="B40" s="6" t="str">
        <x:v>下期收入本期开票（正文绝对额）</x:v>
      </x:c>
      <x:c r="C40" s="12" t="n">
        <x:v>82.23</x:v>
      </x:c>
      <x:c r="D40" s="6" t="str">
        <x:v>万元</x:v>
      </x:c>
      <x:c r="E40" s="12" t="n">
        <x:f>C40*10000</x:f>
        <x:v>822300</x:v>
      </x:c>
      <x:c r="F40" s="6" t="str">
        <x:v>元</x:v>
      </x:c>
      <x:c r="G40" s="6" t="str">
        <x:v>PDF第87页差异说明3（1）</x:v>
      </x:c>
      <x:c r="H40" s="6" t="str">
        <x:v>不直接映射</x:v>
      </x:c>
      <x:c r="I40" s="6" t="str">
        <x:v>原文冲突</x:v>
      </x:c>
      <x:c r="J40" s="6" t="str"/>
    </x:row>
    <x:row r="41" ht="48" customHeight="1">
      <x:c r="A41" s="8" t="str">
        <x:v>2016</x:v>
      </x:c>
      <x:c r="B41" s="8" t="str">
        <x:v>收入差额（正文绝对额）</x:v>
      </x:c>
      <x:c r="C41" s="13" t="n">
        <x:v>632.52</x:v>
      </x:c>
      <x:c r="D41" s="8" t="str">
        <x:v>元</x:v>
      </x:c>
      <x:c r="E41" s="13" t="n">
        <x:f>C41*1</x:f>
        <x:v>632.52</x:v>
      </x:c>
      <x:c r="F41" s="8" t="str">
        <x:v>元</x:v>
      </x:c>
      <x:c r="G41" s="8" t="str">
        <x:v>PDF第87页差异说明3</x:v>
      </x:c>
      <x:c r="H41" s="8" t="str">
        <x:v>不直接映射</x:v>
      </x:c>
      <x:c r="I41" s="8" t="str">
        <x:v>原文冲突</x:v>
      </x:c>
      <x:c r="J41" s="8" t="str">
        <x:v>第86页表格单位为万元；此处原文为元</x:v>
      </x:c>
    </x:row>
  </x:sheetData>
  <x:conditionalFormatting sqref="I9:I41">
    <x:cfRule type="containsText" dxfId="0" priority="1" operator="containsText" text="冲突"/>
    <x:cfRule type="containsText" dxfId="1" priority="2" operator="containsText" text="横杠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02-唯都股份  上海唯都市场营销策划股份有限公司（含上海傲文）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原始来源：https://reportdocs.static.szse.cn/UpFiles/rasinfodisc1/202204/RAS_202204_0001803A75D8D83FEC8BB797E701313F.pdf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数据边界：年末暂估存量不能作为全年收入。两年年末余额不能相加成累计漏报。律师意见是当时披露意见，不是本次独立法律结论。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测试预期：识别曾存在延迟申报事实；保留2021年9月补报及2022年税务证明，不标注已处罚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全年营业收入与申报销售额配对、原始科目余额表、单体申报表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2019年末</x:v>
      </x:c>
      <x:c r="B9" s="8" t="str">
        <x:v>延迟申报暂估收入</x:v>
      </x:c>
      <x:c r="C9" s="13" t="n">
        <x:v>6233.06</x:v>
      </x:c>
      <x:c r="D9" s="8" t="str">
        <x:v>万元</x:v>
      </x:c>
      <x:c r="E9" s="13" t="n">
        <x:f>C9*10000</x:f>
        <x:v>62330600.00000001</x:v>
      </x:c>
      <x:c r="F9" s="8" t="str">
        <x:v>元</x:v>
      </x:c>
      <x:c r="G9" s="8" t="str">
        <x:v>PDF第139页表格</x:v>
      </x:c>
      <x:c r="H9" s="8" t="str">
        <x:v>不直接映射</x:v>
      </x:c>
      <x:c r="I9" s="8" t="str">
        <x:v>可用</x:v>
      </x:c>
      <x:c r="J9" s="8" t="str"/>
    </x:row>
    <x:row r="10" ht="48" customHeight="1">
      <x:c r="A10" s="6" t="str">
        <x:v>2019年末</x:v>
      </x:c>
      <x:c r="B10" s="6" t="str">
        <x:v>对应应缴增值税（披露测算）</x:v>
      </x:c>
      <x:c r="C10" s="12" t="n">
        <x:v>373.98</x:v>
      </x:c>
      <x:c r="D10" s="6" t="str">
        <x:v>万元</x:v>
      </x:c>
      <x:c r="E10" s="12" t="n">
        <x:f>C10*10000</x:f>
        <x:v>3739800</x:v>
      </x:c>
      <x:c r="F10" s="6" t="str">
        <x:v>元</x:v>
      </x:c>
      <x:c r="G10" s="6" t="str">
        <x:v>PDF第139页表格</x:v>
      </x:c>
      <x:c r="H10" s="6" t="str">
        <x:v>不直接映射</x:v>
      </x:c>
      <x:c r="I10" s="6" t="str">
        <x:v>可用</x:v>
      </x:c>
      <x:c r="J10" s="6" t="str">
        <x:v>仅此部分税额，不是全期应纳税额</x:v>
      </x:c>
    </x:row>
    <x:row r="11" ht="48" customHeight="1">
      <x:c r="A11" s="8" t="str">
        <x:v>2019年末</x:v>
      </x:c>
      <x:c r="B11" s="8" t="str">
        <x:v>现场检查账申差异口径</x:v>
      </x:c>
      <x:c r="C11" s="13" t="n">
        <x:v>367.89</x:v>
      </x:c>
      <x:c r="D11" s="8" t="str">
        <x:v>万元</x:v>
      </x:c>
      <x:c r="E11" s="13" t="n">
        <x:f>C11*10000</x:f>
        <x:v>3678900</x:v>
      </x:c>
      <x:c r="F11" s="8" t="str">
        <x:v>元</x:v>
      </x:c>
      <x:c r="G11" s="8" t="str">
        <x:v>PDF第139页注释</x:v>
      </x:c>
      <x:c r="H11" s="8" t="str">
        <x:v>不直接映射</x:v>
      </x:c>
      <x:c r="I11" s="8" t="str">
        <x:v>可用</x:v>
      </x:c>
      <x:c r="J11" s="8" t="str">
        <x:v>原文称主表口径相对更准确；两者不可相加</x:v>
      </x:c>
    </x:row>
    <x:row r="12" ht="48" customHeight="1">
      <x:c r="A12" s="6" t="str">
        <x:v>2020年末</x:v>
      </x:c>
      <x:c r="B12" s="6" t="str">
        <x:v>延迟申报暂估收入</x:v>
      </x:c>
      <x:c r="C12" s="12" t="n">
        <x:v>6700.59</x:v>
      </x:c>
      <x:c r="D12" s="6" t="str">
        <x:v>万元</x:v>
      </x:c>
      <x:c r="E12" s="12" t="n">
        <x:f>C12*10000</x:f>
        <x:v>67005900</x:v>
      </x:c>
      <x:c r="F12" s="6" t="str">
        <x:v>元</x:v>
      </x:c>
      <x:c r="G12" s="6" t="str">
        <x:v>PDF第139页表格</x:v>
      </x:c>
      <x:c r="H12" s="6" t="str">
        <x:v>不直接映射</x:v>
      </x:c>
      <x:c r="I12" s="6" t="str">
        <x:v>可用</x:v>
      </x:c>
      <x:c r="J12" s="6" t="str"/>
    </x:row>
    <x:row r="13" ht="48" customHeight="1">
      <x:c r="A13" s="8" t="str">
        <x:v>2020年末</x:v>
      </x:c>
      <x:c r="B13" s="8" t="str">
        <x:v>对应应缴增值税（披露测算）</x:v>
      </x:c>
      <x:c r="C13" s="13" t="n">
        <x:v>402.04</x:v>
      </x:c>
      <x:c r="D13" s="8" t="str">
        <x:v>万元</x:v>
      </x:c>
      <x:c r="E13" s="13" t="n">
        <x:f>C13*10000</x:f>
        <x:v>4020400</x:v>
      </x:c>
      <x:c r="F13" s="8" t="str">
        <x:v>元</x:v>
      </x:c>
      <x:c r="G13" s="8" t="str">
        <x:v>PDF第139页表格</x:v>
      </x:c>
      <x:c r="H13" s="8" t="str">
        <x:v>不直接映射</x:v>
      </x:c>
      <x:c r="I13" s="8" t="str">
        <x:v>可用</x:v>
      </x:c>
      <x:c r="J13" s="8" t="str">
        <x:v>仅此部分税额，不是全期应纳税额</x:v>
      </x:c>
    </x:row>
    <x:row r="14" ht="48" customHeight="1">
      <x:c r="A14" s="6" t="str">
        <x:v>2020年末</x:v>
      </x:c>
      <x:c r="B14" s="6" t="str">
        <x:v>现场检查账申差异口径</x:v>
      </x:c>
      <x:c r="C14" s="12" t="n">
        <x:v>341.76</x:v>
      </x:c>
      <x:c r="D14" s="6" t="str">
        <x:v>万元</x:v>
      </x:c>
      <x:c r="E14" s="12" t="n">
        <x:f>C14*10000</x:f>
        <x:v>3417600</x:v>
      </x:c>
      <x:c r="F14" s="6" t="str">
        <x:v>元</x:v>
      </x:c>
      <x:c r="G14" s="6" t="str">
        <x:v>PDF第139页注释</x:v>
      </x:c>
      <x:c r="H14" s="6" t="str">
        <x:v>不直接映射</x:v>
      </x:c>
      <x:c r="I14" s="6" t="str">
        <x:v>可用</x:v>
      </x:c>
      <x:c r="J14" s="6" t="str">
        <x:v>原文称主表口径相对更准确；两者不可相加</x:v>
      </x:c>
    </x:row>
  </x:sheetData>
  <x:conditionalFormatting sqref="I9:I14">
    <x:cfRule type="containsText" dxfId="2" priority="1" operator="containsText" text="冲突"/>
    <x:cfRule type="containsText" dxfId="3" priority="2" operator="containsText" text="横杠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03-春风船舶  扬州春风船舶机械制造有限公司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原始来源：https://www.chinatax.gov.cn/chinatax/n810219/c102025/c5247588/content.html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数据边界：909万元为三年收款总额，不是逐年销售额；实际用工不等于社保参保。官方公开的是调查汇总，未公开原始工资表或流水。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测试预期：个税申报61人与实际用工36人不符；社保人数未披露，R-004仍应未执行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账面收入、完整申报表、逐笔银行流水、社保参保人数、税号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2021—2023</x:v>
      </x:c>
      <x:c r="B9" s="8" t="str">
        <x:v>个人账户收取货款合计</x:v>
      </x:c>
      <x:c r="C9" s="13" t="n">
        <x:v>909</x:v>
      </x:c>
      <x:c r="D9" s="8" t="str">
        <x:v>万元</x:v>
      </x:c>
      <x:c r="E9" s="13" t="n">
        <x:f>C9*10000</x:f>
        <x:v>9090000</x:v>
      </x:c>
      <x:c r="F9" s="8" t="str">
        <x:v>元</x:v>
      </x:c>
      <x:c r="G9" s="8" t="str">
        <x:v>25个账户打款暴露真相第2段</x:v>
      </x:c>
      <x:c r="H9" s="8" t="str">
        <x:v>不直接映射</x:v>
      </x:c>
      <x:c r="I9" s="8" t="str">
        <x:v>可用</x:v>
      </x:c>
      <x:c r="J9" s="8" t="str">
        <x:v>金额按原文披露精度保留</x:v>
      </x:c>
    </x:row>
    <x:row r="10" ht="48" customHeight="1">
      <x:c r="A10" s="6" t="str">
        <x:v>2021—2023</x:v>
      </x:c>
      <x:c r="B10" s="6" t="str">
        <x:v>汇款来源账户数</x:v>
      </x:c>
      <x:c r="C10" s="20" t="n">
        <x:v>25</x:v>
      </x:c>
      <x:c r="D10" s="6" t="str">
        <x:v>个</x:v>
      </x:c>
      <x:c r="E10" s="20" t="n">
        <x:f>C10*1</x:f>
        <x:v>25</x:v>
      </x:c>
      <x:c r="F10" s="6" t="str">
        <x:v>个</x:v>
      </x:c>
      <x:c r="G10" s="6" t="str">
        <x:v>25个账户打款暴露真相第2段</x:v>
      </x:c>
      <x:c r="H10" s="6" t="str">
        <x:v>不直接映射</x:v>
      </x:c>
      <x:c r="I10" s="6" t="str">
        <x:v>可用</x:v>
      </x:c>
      <x:c r="J10" s="6" t="str"/>
    </x:row>
    <x:row r="11" ht="48" customHeight="1">
      <x:c r="A11" s="8" t="str">
        <x:v>2021—2023</x:v>
      </x:c>
      <x:c r="B11" s="8" t="str">
        <x:v>实际用工人数</x:v>
      </x:c>
      <x:c r="C11" s="22" t="n">
        <x:v>36</x:v>
      </x:c>
      <x:c r="D11" s="8" t="str">
        <x:v>人</x:v>
      </x:c>
      <x:c r="E11" s="22" t="n">
        <x:f>C11*1</x:f>
        <x:v>36</x:v>
      </x:c>
      <x:c r="F11" s="8" t="str">
        <x:v>人</x:v>
      </x:c>
      <x:c r="G11" s="8" t="str">
        <x:v>25个账户打款暴露真相末段</x:v>
      </x:c>
      <x:c r="H11" s="8" t="str">
        <x:v>不直接映射</x:v>
      </x:c>
      <x:c r="I11" s="8" t="str">
        <x:v>可用</x:v>
      </x:c>
      <x:c r="J11" s="8" t="str">
        <x:v>绝不能映射为人力.社保参保人数</x:v>
      </x:c>
    </x:row>
    <x:row r="12" ht="48" customHeight="1">
      <x:c r="A12" s="6" t="str">
        <x:v>2021—2023</x:v>
      </x:c>
      <x:c r="B12" s="6" t="str">
        <x:v>个税代扣代缴申报人数</x:v>
      </x:c>
      <x:c r="C12" s="20" t="n">
        <x:v>61</x:v>
      </x:c>
      <x:c r="D12" s="6" t="str">
        <x:v>人</x:v>
      </x:c>
      <x:c r="E12" s="20" t="n">
        <x:f>C12*1</x:f>
        <x:v>61</x:v>
      </x:c>
      <x:c r="F12" s="6" t="str">
        <x:v>人</x:v>
      </x:c>
      <x:c r="G12" s="6" t="str">
        <x:v>25个账户打款暴露真相末段</x:v>
      </x:c>
      <x:c r="H12" s="6" t="str">
        <x:v>人力.个税申报人数</x:v>
      </x:c>
      <x:c r="I12" s="6" t="str">
        <x:v>可用</x:v>
      </x:c>
      <x:c r="J12" s="6" t="str">
        <x:v>具体月未披露，案期汇总</x:v>
      </x:c>
    </x:row>
    <x:row r="13" ht="48" customHeight="1">
      <x:c r="A13" s="8" t="str">
        <x:v>2021—2023</x:v>
      </x:c>
      <x:c r="B13" s="8" t="str">
        <x:v>少缴增值税等税费</x:v>
      </x:c>
      <x:c r="C13" s="13" t="n">
        <x:v>171.73</x:v>
      </x:c>
      <x:c r="D13" s="8" t="str">
        <x:v>万元</x:v>
      </x:c>
      <x:c r="E13" s="13" t="n">
        <x:f>C13*10000</x:f>
        <x:v>1717300</x:v>
      </x:c>
      <x:c r="F13" s="8" t="str">
        <x:v>元</x:v>
      </x:c>
      <x:c r="G13" s="8" t="str">
        <x:v>导语</x:v>
      </x:c>
      <x:c r="H13" s="8" t="str">
        <x:v>不直接映射</x:v>
      </x:c>
      <x:c r="I13" s="8" t="str">
        <x:v>可用</x:v>
      </x:c>
      <x:c r="J13" s="8" t="str">
        <x:v>合并多个税费，不可当增值税应纳税额</x:v>
      </x:c>
    </x:row>
    <x:row r="14" ht="48" customHeight="1">
      <x:c r="A14" s="6" t="str">
        <x:v>2021—2023</x:v>
      </x:c>
      <x:c r="B14" s="6" t="str">
        <x:v>少代扣代缴个人所得税</x:v>
      </x:c>
      <x:c r="C14" s="12" t="n">
        <x:v>17.73</x:v>
      </x:c>
      <x:c r="D14" s="6" t="str">
        <x:v>万元</x:v>
      </x:c>
      <x:c r="E14" s="12" t="n">
        <x:f>C14*10000</x:f>
        <x:v>177300</x:v>
      </x:c>
      <x:c r="F14" s="6" t="str">
        <x:v>元</x:v>
      </x:c>
      <x:c r="G14" s="6" t="str">
        <x:v>导语</x:v>
      </x:c>
      <x:c r="H14" s="6" t="str">
        <x:v>不直接映射</x:v>
      </x:c>
      <x:c r="I14" s="6" t="str">
        <x:v>可用</x:v>
      </x:c>
      <x:c r="J14" s="6" t="str"/>
    </x:row>
    <x:row r="15" ht="48" customHeight="1">
      <x:c r="A15" s="8" t="str">
        <x:v>2021—2023</x:v>
      </x:c>
      <x:c r="B15" s="8" t="str">
        <x:v>追缴滞纳金罚款合计</x:v>
      </x:c>
      <x:c r="C15" s="13" t="n">
        <x:v>357.58</x:v>
      </x:c>
      <x:c r="D15" s="8" t="str">
        <x:v>万元</x:v>
      </x:c>
      <x:c r="E15" s="13" t="n">
        <x:f>C15*10000</x:f>
        <x:v>3575800</x:v>
      </x:c>
      <x:c r="F15" s="8" t="str">
        <x:v>元</x:v>
      </x:c>
      <x:c r="G15" s="8" t="str">
        <x:v>导语</x:v>
      </x:c>
      <x:c r="H15" s="8" t="str">
        <x:v>不直接映射</x:v>
      </x:c>
      <x:c r="I15" s="8" t="str">
        <x:v>可用</x:v>
      </x:c>
      <x:c r="J15" s="8" t="str">
        <x:v>不是罚款单项</x:v>
      </x:c>
    </x:row>
    <x:row r="16" ht="48" customHeight="1">
      <x:c r="A16" s="6" t="str">
        <x:v>2022→2023</x:v>
      </x:c>
      <x:c r="B16" s="6" t="str">
        <x:v>收入总额增幅</x:v>
      </x:c>
      <x:c r="C16" s="12" t="n">
        <x:v>28</x:v>
      </x:c>
      <x:c r="D16" s="6" t="str">
        <x:v>%</x:v>
      </x:c>
      <x:c r="E16" s="21" t="n">
        <x:f>C16*0.01</x:f>
        <x:v>0.28</x:v>
      </x:c>
      <x:c r="F16" s="6" t="str">
        <x:v>比率</x:v>
      </x:c>
      <x:c r="G16" s="6" t="str">
        <x:v>申报数据异常引发关注</x:v>
      </x:c>
      <x:c r="H16" s="6" t="str">
        <x:v>不直接映射</x:v>
      </x:c>
      <x:c r="I16" s="6" t="str">
        <x:v>可用</x:v>
      </x:c>
      <x:c r="J16" s="6" t="str">
        <x:v>约 原文为约28%</x:v>
      </x:c>
    </x:row>
    <x:row r="17" ht="48" customHeight="1">
      <x:c r="A17" s="8" t="str">
        <x:v>2022→2023</x:v>
      </x:c>
      <x:c r="B17" s="8" t="str">
        <x:v>应纳税所得额增幅</x:v>
      </x:c>
      <x:c r="C17" s="13" t="n">
        <x:v>0.15</x:v>
      </x:c>
      <x:c r="D17" s="8" t="str">
        <x:v>%</x:v>
      </x:c>
      <x:c r="E17" s="23" t="n">
        <x:f>C17*0.01</x:f>
        <x:v>0.0015</x:v>
      </x:c>
      <x:c r="F17" s="8" t="str">
        <x:v>比率</x:v>
      </x:c>
      <x:c r="G17" s="8" t="str">
        <x:v>申报数据异常引发关注</x:v>
      </x:c>
      <x:c r="H17" s="8" t="str">
        <x:v>不直接映射</x:v>
      </x:c>
      <x:c r="I17" s="8" t="str">
        <x:v>可用</x:v>
      </x:c>
      <x:c r="J17" s="8" t="str"/>
    </x:row>
  </x:sheetData>
  <x:conditionalFormatting sqref="I9:I17">
    <x:cfRule type="containsText" dxfId="4" priority="1" operator="containsText" text="冲突"/>
    <x:cfRule type="containsText" dxfId="5" priority="2" operator="containsText" text="横杠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04-星印网络  安徽星印网络科技有限公司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原始来源：https://www.chinatax.gov.cn/chinatax/n810219/c102025/c5247586/content.html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数据边界：查实收入是外部调查口径，不能塞入6001贷方伪装账面收入。838.83万元是调查中间口径，不能叠加到2469.63万元。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测试预期：查实销售收入减已申报收入应为1856.87万元；R-001缺账面营业收入须未执行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账面营业收入、逐年申报与逐笔流水、发票明细、完整合同、税号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2022—2024</x:v>
      </x:c>
      <x:c r="B9" s="8" t="str">
        <x:v>已申报销售额</x:v>
      </x:c>
      <x:c r="C9" s="13" t="n">
        <x:v>612.76</x:v>
      </x:c>
      <x:c r="D9" s="8" t="str">
        <x:v>万元</x:v>
      </x:c>
      <x:c r="E9" s="13" t="n">
        <x:f>C9*10000</x:f>
        <x:v>6127600</x:v>
      </x:c>
      <x:c r="F9" s="8" t="str">
        <x:v>元</x:v>
      </x:c>
      <x:c r="G9" s="8" t="str">
        <x:v>申报异常牵出偷税疑云第2段</x:v>
      </x:c>
      <x:c r="H9" s="8" t="str">
        <x:v>增值税.销售额</x:v>
      </x:c>
      <x:c r="I9" s="8" t="str">
        <x:v>可用</x:v>
      </x:c>
      <x:c r="J9" s="8" t="str">
        <x:v>三年合计</x:v>
      </x:c>
    </x:row>
    <x:row r="10" ht="48" customHeight="1">
      <x:c r="A10" s="6" t="str">
        <x:v>2022—2024</x:v>
      </x:c>
      <x:c r="B10" s="6" t="str">
        <x:v>申报中的未开票收入</x:v>
      </x:c>
      <x:c r="C10" s="12" t="n">
        <x:v>10.23</x:v>
      </x:c>
      <x:c r="D10" s="6" t="str">
        <x:v>万元</x:v>
      </x:c>
      <x:c r="E10" s="12" t="n">
        <x:f>C10*10000</x:f>
        <x:v>102300</x:v>
      </x:c>
      <x:c r="F10" s="6" t="str">
        <x:v>元</x:v>
      </x:c>
      <x:c r="G10" s="6" t="str">
        <x:v>申报异常牵出偷税疑云第2段</x:v>
      </x:c>
      <x:c r="H10" s="6" t="str">
        <x:v>不直接映射</x:v>
      </x:c>
      <x:c r="I10" s="6" t="str">
        <x:v>可用</x:v>
      </x:c>
      <x:c r="J10" s="6" t="str">
        <x:v>是已申报收入子集，不是全部隐匿收入</x:v>
      </x:c>
    </x:row>
    <x:row r="11" ht="48" customHeight="1">
      <x:c r="A11" s="8" t="str">
        <x:v>2022—2024</x:v>
      </x:c>
      <x:c r="B11" s="8" t="str">
        <x:v>两经营主体收入（中间核查）</x:v>
      </x:c>
      <x:c r="C11" s="13" t="n">
        <x:v>838.83</x:v>
      </x:c>
      <x:c r="D11" s="8" t="str">
        <x:v>万元</x:v>
      </x:c>
      <x:c r="E11" s="13" t="n">
        <x:f>C11*10000</x:f>
        <x:v>8388300</x:v>
      </x:c>
      <x:c r="F11" s="8" t="str">
        <x:v>元</x:v>
      </x:c>
      <x:c r="G11" s="8" t="str">
        <x:v>化整为零拆分收入倒数第2段</x:v>
      </x:c>
      <x:c r="H11" s="8" t="str">
        <x:v>不直接映射</x:v>
      </x:c>
      <x:c r="I11" s="8" t="str">
        <x:v>可用</x:v>
      </x:c>
      <x:c r="J11" s="8" t="str">
        <x:v>非最终查实总额</x:v>
      </x:c>
    </x:row>
    <x:row r="12" ht="48" customHeight="1">
      <x:c r="A12" s="6" t="str">
        <x:v>2022—2024</x:v>
      </x:c>
      <x:c r="B12" s="6" t="str">
        <x:v>查实销售收入</x:v>
      </x:c>
      <x:c r="C12" s="12" t="n">
        <x:v>2469.63</x:v>
      </x:c>
      <x:c r="D12" s="6" t="str">
        <x:v>万元</x:v>
      </x:c>
      <x:c r="E12" s="12" t="n">
        <x:f>C12*10000</x:f>
        <x:v>24696300</x:v>
      </x:c>
      <x:c r="F12" s="6" t="str">
        <x:v>元</x:v>
      </x:c>
      <x:c r="G12" s="6" t="str">
        <x:v>公账私收隐匿收入末段</x:v>
      </x:c>
      <x:c r="H12" s="6" t="str">
        <x:v>不直接映射</x:v>
      </x:c>
      <x:c r="I12" s="6" t="str">
        <x:v>可用</x:v>
      </x:c>
      <x:c r="J12" s="6" t="str">
        <x:v>外部核查口径，不映射账面营业收入</x:v>
      </x:c>
    </x:row>
    <x:row r="13" ht="48" customHeight="1">
      <x:c r="A13" s="8" t="str">
        <x:v>2022—2024</x:v>
      </x:c>
      <x:c r="B13" s="8" t="str">
        <x:v>未按规定申报收入</x:v>
      </x:c>
      <x:c r="C13" s="13" t="n">
        <x:v>1856.87</x:v>
      </x:c>
      <x:c r="D13" s="8" t="str">
        <x:v>万元</x:v>
      </x:c>
      <x:c r="E13" s="13" t="n">
        <x:f>C13*10000</x:f>
        <x:v>18568700</x:v>
      </x:c>
      <x:c r="F13" s="8" t="str">
        <x:v>元</x:v>
      </x:c>
      <x:c r="G13" s="8" t="str">
        <x:v>公账私收隐匿收入末段</x:v>
      </x:c>
      <x:c r="H13" s="8" t="str">
        <x:v>不直接映射</x:v>
      </x:c>
      <x:c r="I13" s="8" t="str">
        <x:v>可用</x:v>
      </x:c>
      <x:c r="J13" s="8" t="str"/>
    </x:row>
    <x:row r="14" ht="48" customHeight="1">
      <x:c r="A14" s="6" t="str">
        <x:v>2022—2024</x:v>
      </x:c>
      <x:c r="B14" s="6" t="str">
        <x:v>少缴增值税等税费</x:v>
      </x:c>
      <x:c r="C14" s="12" t="n">
        <x:v>160.8</x:v>
      </x:c>
      <x:c r="D14" s="6" t="str">
        <x:v>万元</x:v>
      </x:c>
      <x:c r="E14" s="12" t="n">
        <x:f>C14*10000</x:f>
        <x:v>1608000</x:v>
      </x:c>
      <x:c r="F14" s="6" t="str">
        <x:v>元</x:v>
      </x:c>
      <x:c r="G14" s="6" t="str">
        <x:v>导语</x:v>
      </x:c>
      <x:c r="H14" s="6" t="str">
        <x:v>不直接映射</x:v>
      </x:c>
      <x:c r="I14" s="6" t="str">
        <x:v>可用</x:v>
      </x:c>
      <x:c r="J14" s="6" t="str">
        <x:v>未拆分税种</x:v>
      </x:c>
    </x:row>
    <x:row r="15" ht="48" customHeight="1">
      <x:c r="A15" s="8" t="str">
        <x:v>2022—2024</x:v>
      </x:c>
      <x:c r="B15" s="8" t="str">
        <x:v>追缴滞纳金罚款合计</x:v>
      </x:c>
      <x:c r="C15" s="13" t="n">
        <x:v>286.13</x:v>
      </x:c>
      <x:c r="D15" s="8" t="str">
        <x:v>万元</x:v>
      </x:c>
      <x:c r="E15" s="13" t="n">
        <x:f>C15*10000</x:f>
        <x:v>2861300</x:v>
      </x:c>
      <x:c r="F15" s="8" t="str">
        <x:v>元</x:v>
      </x:c>
      <x:c r="G15" s="8" t="str">
        <x:v>导语</x:v>
      </x:c>
      <x:c r="H15" s="8" t="str">
        <x:v>不直接映射</x:v>
      </x:c>
      <x:c r="I15" s="8" t="str">
        <x:v>可用</x:v>
      </x:c>
      <x:c r="J15" s="8" t="str">
        <x:v>不等于罚款单项</x:v>
      </x:c>
    </x:row>
  </x:sheetData>
  <x:conditionalFormatting sqref="I9:I15">
    <x:cfRule type="containsText" dxfId="6" priority="1" operator="containsText" text="冲突"/>
    <x:cfRule type="containsText" dxfId="7" priority="2" operator="containsText" text="横杠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05-慧业医药  西藏慧业医药科技有限公司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原始来源：https://www.chinatax.gov.cn/chinatax/n810219/c102025/c5247591/content.html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数据边界：不同违规金额存在包含关系，不相加。80%为委托研发费用计入基数口径，不是加计扣除比例。不得用差额倒推出未披露合同金额。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测试预期：保留合同与发票技术转让实质、100%与80%基数差异；当前四规则均不能独立识别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完整研发辅助账、合同原件、发票行明细、年度所得税申报表、税号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2020—2023</x:v>
      </x:c>
      <x:c r="B9" s="8" t="str">
        <x:v>研发支出占总成本费用比例</x:v>
      </x:c>
      <x:c r="C9" s="13" t="n">
        <x:v>80</x:v>
      </x:c>
      <x:c r="D9" s="8" t="str">
        <x:v>%</x:v>
      </x:c>
      <x:c r="E9" s="23" t="n">
        <x:f>C9*0.01</x:f>
        <x:v>0.8</x:v>
      </x:c>
      <x:c r="F9" s="8" t="str">
        <x:v>比率</x:v>
      </x:c>
      <x:c r="G9" s="8" t="str">
        <x:v>高研发低产出</x:v>
      </x:c>
      <x:c r="H9" s="8" t="str">
        <x:v>不直接映射</x:v>
      </x:c>
      <x:c r="I9" s="8" t="str">
        <x:v>可用</x:v>
      </x:c>
      <x:c r="J9" s="8" t="str">
        <x:v>&gt;= 连续四年，原文80%以上，非精确值</x:v>
      </x:c>
    </x:row>
    <x:row r="10" ht="48" customHeight="1">
      <x:c r="A10" s="6" t="str">
        <x:v>2020—2023</x:v>
      </x:c>
      <x:c r="B10" s="6" t="str">
        <x:v>未登记项目涉及支出</x:v>
      </x:c>
      <x:c r="C10" s="12" t="n">
        <x:v>1389.62</x:v>
      </x:c>
      <x:c r="D10" s="6" t="str">
        <x:v>万元</x:v>
      </x:c>
      <x:c r="E10" s="12" t="n">
        <x:f>C10*10000</x:f>
        <x:v>13896199.999999998</x:v>
      </x:c>
      <x:c r="F10" s="6" t="str">
        <x:v>元</x:v>
      </x:c>
      <x:c r="G10" s="6" t="str">
        <x:v>未备案虚列支第1段</x:v>
      </x:c>
      <x:c r="H10" s="6" t="str">
        <x:v>不直接映射</x:v>
      </x:c>
      <x:c r="I10" s="6" t="str">
        <x:v>可用</x:v>
      </x:c>
      <x:c r="J10" s="6" t="str">
        <x:v>为项目支出，不是所欠税款</x:v>
      </x:c>
    </x:row>
    <x:row r="11" ht="48" customHeight="1">
      <x:c r="A11" s="8" t="str">
        <x:v>2020—2023</x:v>
      </x:c>
      <x:c r="B11" s="8" t="str">
        <x:v>公司采用委托研发计入比例</x:v>
      </x:c>
      <x:c r="C11" s="13" t="n">
        <x:v>100</x:v>
      </x:c>
      <x:c r="D11" s="8" t="str">
        <x:v>%</x:v>
      </x:c>
      <x:c r="E11" s="23" t="n">
        <x:f>C11*0.01</x:f>
        <x:v>1</x:v>
      </x:c>
      <x:c r="F11" s="8" t="str">
        <x:v>比率</x:v>
      </x:c>
      <x:c r="G11" s="8" t="str">
        <x:v>未备案虚列支第2段</x:v>
      </x:c>
      <x:c r="H11" s="8" t="str">
        <x:v>不直接映射</x:v>
      </x:c>
      <x:c r="I11" s="8" t="str">
        <x:v>可用</x:v>
      </x:c>
      <x:c r="J11" s="8" t="str"/>
    </x:row>
    <x:row r="12" ht="48" customHeight="1">
      <x:c r="A12" s="6" t="str">
        <x:v>2020—2023</x:v>
      </x:c>
      <x:c r="B12" s="6" t="str">
        <x:v>文中政策委托研发计入比例</x:v>
      </x:c>
      <x:c r="C12" s="12" t="n">
        <x:v>80</x:v>
      </x:c>
      <x:c r="D12" s="6" t="str">
        <x:v>%</x:v>
      </x:c>
      <x:c r="E12" s="21" t="n">
        <x:f>C12*0.01</x:f>
        <x:v>0.8</x:v>
      </x:c>
      <x:c r="F12" s="6" t="str">
        <x:v>比率</x:v>
      </x:c>
      <x:c r="G12" s="6" t="str">
        <x:v>未备案虚列支第2段</x:v>
      </x:c>
      <x:c r="H12" s="6" t="str">
        <x:v>不直接映射</x:v>
      </x:c>
      <x:c r="I12" s="6" t="str">
        <x:v>可用</x:v>
      </x:c>
      <x:c r="J12" s="6" t="str">
        <x:v>历史案件政策口径；非2026税法建议</x:v>
      </x:c>
    </x:row>
    <x:row r="13" ht="48" customHeight="1">
      <x:c r="A13" s="8" t="str">
        <x:v>2020—2023</x:v>
      </x:c>
      <x:c r="B13" s="8" t="str">
        <x:v>基数问题虚增研发费用</x:v>
      </x:c>
      <x:c r="C13" s="13" t="n">
        <x:v>81.5</x:v>
      </x:c>
      <x:c r="D13" s="8" t="str">
        <x:v>万元</x:v>
      </x:c>
      <x:c r="E13" s="13" t="n">
        <x:f>C13*10000</x:f>
        <x:v>815000</x:v>
      </x:c>
      <x:c r="F13" s="8" t="str">
        <x:v>元</x:v>
      </x:c>
      <x:c r="G13" s="8" t="str">
        <x:v>未备案虚列支第2段</x:v>
      </x:c>
      <x:c r="H13" s="8" t="str">
        <x:v>不直接映射</x:v>
      </x:c>
      <x:c r="I13" s="8" t="str">
        <x:v>可用</x:v>
      </x:c>
      <x:c r="J13" s="8" t="str">
        <x:v>不得与虚列研发总额重复汇总</x:v>
      </x:c>
    </x:row>
    <x:row r="14" ht="48" customHeight="1">
      <x:c r="A14" s="6" t="str">
        <x:v>2020—2023</x:v>
      </x:c>
      <x:c r="B14" s="6" t="str">
        <x:v>虚列研发费用支出总额</x:v>
      </x:c>
      <x:c r="C14" s="12" t="n">
        <x:v>9809.43</x:v>
      </x:c>
      <x:c r="D14" s="6" t="str">
        <x:v>万元</x:v>
      </x:c>
      <x:c r="E14" s="12" t="n">
        <x:f>C14*10000</x:f>
        <x:v>98094300</x:v>
      </x:c>
      <x:c r="F14" s="6" t="str">
        <x:v>元</x:v>
      </x:c>
      <x:c r="G14" s="6" t="str">
        <x:v>违法事实终确认第1段</x:v>
      </x:c>
      <x:c r="H14" s="6" t="str">
        <x:v>不直接映射</x:v>
      </x:c>
      <x:c r="I14" s="6" t="str">
        <x:v>可用</x:v>
      </x:c>
      <x:c r="J14" s="6" t="str"/>
    </x:row>
    <x:row r="15" ht="48" customHeight="1">
      <x:c r="A15" s="8" t="str">
        <x:v>2020—2023</x:v>
      </x:c>
      <x:c r="B15" s="8" t="str">
        <x:v>少缴企业所得税</x:v>
      </x:c>
      <x:c r="C15" s="13" t="n">
        <x:v>999.09</x:v>
      </x:c>
      <x:c r="D15" s="8" t="str">
        <x:v>万元</x:v>
      </x:c>
      <x:c r="E15" s="13" t="n">
        <x:f>C15*10000</x:f>
        <x:v>9990900</x:v>
      </x:c>
      <x:c r="F15" s="8" t="str">
        <x:v>元</x:v>
      </x:c>
      <x:c r="G15" s="8" t="str">
        <x:v>导语</x:v>
      </x:c>
      <x:c r="H15" s="8" t="str">
        <x:v>不直接映射</x:v>
      </x:c>
      <x:c r="I15" s="8" t="str">
        <x:v>可用</x:v>
      </x:c>
      <x:c r="J15" s="8" t="str"/>
    </x:row>
    <x:row r="16" ht="48" customHeight="1">
      <x:c r="A16" s="6" t="str">
        <x:v>2020—2023</x:v>
      </x:c>
      <x:c r="B16" s="6" t="str">
        <x:v>追缴滞纳金罚款合计</x:v>
      </x:c>
      <x:c r="C16" s="12" t="n">
        <x:v>1715.99</x:v>
      </x:c>
      <x:c r="D16" s="6" t="str">
        <x:v>万元</x:v>
      </x:c>
      <x:c r="E16" s="12" t="n">
        <x:f>C16*10000</x:f>
        <x:v>17159900</x:v>
      </x:c>
      <x:c r="F16" s="6" t="str">
        <x:v>元</x:v>
      </x:c>
      <x:c r="G16" s="6" t="str">
        <x:v>导语</x:v>
      </x:c>
      <x:c r="H16" s="6" t="str">
        <x:v>不直接映射</x:v>
      </x:c>
      <x:c r="I16" s="6" t="str">
        <x:v>可用</x:v>
      </x:c>
      <x:c r="J16" s="6" t="str"/>
    </x:row>
  </x:sheetData>
  <x:conditionalFormatting sqref="I9:I16">
    <x:cfRule type="containsText" dxfId="8" priority="1" operator="containsText" text="冲突"/>
    <x:cfRule type="containsText" dxfId="9" priority="2" operator="containsText" text="横杠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.25" hidden="0" customWidth="1"/>
    <x:col min="2" max="2" width="33.75" hidden="0" customWidth="1"/>
    <x:col min="3" max="3" width="18.75" hidden="0" customWidth="1"/>
    <x:col min="4" max="4" width="8.130000114440918" hidden="0" customWidth="1"/>
    <x:col min="5" max="5" width="22.5" hidden="0" customWidth="1"/>
    <x:col min="6" max="6" width="10" hidden="0" customWidth="1"/>
    <x:col min="7" max="7" width="29.3799991607666" hidden="0" customWidth="1"/>
    <x:col min="8" max="8" width="22.5" hidden="0" customWidth="1"/>
    <x:col min="9" max="9" width="15" hidden="0" customWidth="1"/>
    <x:col min="10" max="10" width="38.75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7" t="str">
        <x:v>06-隆旭煤炭  鄂尔多斯市隆旭煤炭有限责任公司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 t="str">
        <x:v>原始来源：https://neimenggu.chinatax.gov.cn/sjpd/eeds/tzgghhht/202507/t20250704_805538.html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数据边界：来源第一部分（一）富顺康数字与（二）不一致。本包保留冲突，供数据质量测试；分项是批次汇总，不能展开成263张虚构发票。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 t="str">
        <x:v>测试预期：采用增值税分项段落可复算263份及4437123.02元；冲突字段留待复核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 t="str">
        <x:v>当前入口：不可直接导入；缺少 全部发票逐张记录、账套、完整申报表、银行逐笔流水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5" t="str">
        <x:v>所属期</x:v>
      </x:c>
      <x:c r="B8" s="5" t="str">
        <x:v>披露项目</x:v>
      </x:c>
      <x:c r="C8" s="5" t="str">
        <x:v>原值</x:v>
      </x:c>
      <x:c r="D8" s="5" t="str">
        <x:v>原单位</x:v>
      </x:c>
      <x:c r="E8" s="5" t="str">
        <x:v>标准值</x:v>
      </x:c>
      <x:c r="F8" s="5" t="str">
        <x:v>标准单位</x:v>
      </x:c>
      <x:c r="G8" s="5" t="str">
        <x:v>原文定位</x:v>
      </x:c>
      <x:c r="H8" s="5" t="str">
        <x:v>指标映射</x:v>
      </x:c>
      <x:c r="I8" s="5" t="str">
        <x:v>数据标记</x:v>
      </x:c>
      <x:c r="J8" s="5" t="str">
        <x:v>口径说明</x:v>
      </x:c>
    </x:row>
    <x:row r="9" ht="48" customHeight="1">
      <x:c r="A9" s="8" t="str">
        <x:v>2011-11-26</x:v>
      </x:c>
      <x:c r="B9" s="8" t="str">
        <x:v>源弘润-份数</x:v>
      </x:c>
      <x:c r="C9" s="22" t="n">
        <x:v>20</x:v>
      </x:c>
      <x:c r="D9" s="8" t="str">
        <x:v>份</x:v>
      </x:c>
      <x:c r="E9" s="22" t="n">
        <x:f>C9*1</x:f>
        <x:v>20</x:v>
      </x:c>
      <x:c r="F9" s="8" t="str">
        <x:v>份</x:v>
      </x:c>
      <x:c r="G9" s="8" t="str">
        <x:v>一（二）增值税方面</x:v>
      </x:c>
      <x:c r="H9" s="8" t="str">
        <x:v>不直接映射</x:v>
      </x:c>
      <x:c r="I9" s="8" t="str">
        <x:v>可用</x:v>
      </x:c>
      <x:c r="J9" s="8" t="str">
        <x:v>批次汇总；源文存在冲突</x:v>
      </x:c>
    </x:row>
    <x:row r="10" ht="48" customHeight="1">
      <x:c r="A10" s="6" t="str">
        <x:v>2011-11-26</x:v>
      </x:c>
      <x:c r="B10" s="6" t="str">
        <x:v>源弘润-不含税金额</x:v>
      </x:c>
      <x:c r="C10" s="12" t="n">
        <x:v>1965811.99</x:v>
      </x:c>
      <x:c r="D10" s="6" t="str">
        <x:v>元</x:v>
      </x:c>
      <x:c r="E10" s="12" t="n">
        <x:f>C10*1</x:f>
        <x:v>1965811.99</x:v>
      </x:c>
      <x:c r="F10" s="6" t="str">
        <x:v>元</x:v>
      </x:c>
      <x:c r="G10" s="6" t="str">
        <x:v>一（二）增值税方面</x:v>
      </x:c>
      <x:c r="H10" s="6" t="str">
        <x:v>不直接映射</x:v>
      </x:c>
      <x:c r="I10" s="6" t="str">
        <x:v>可用</x:v>
      </x:c>
      <x:c r="J10" s="6" t="str">
        <x:v>批次汇总；源文存在冲突</x:v>
      </x:c>
    </x:row>
    <x:row r="11" ht="48" customHeight="1">
      <x:c r="A11" s="8" t="str">
        <x:v>2011-11-26</x:v>
      </x:c>
      <x:c r="B11" s="8" t="str">
        <x:v>源弘润-进项税额</x:v>
      </x:c>
      <x:c r="C11" s="13" t="n">
        <x:v>334188.01</x:v>
      </x:c>
      <x:c r="D11" s="8" t="str">
        <x:v>元</x:v>
      </x:c>
      <x:c r="E11" s="13" t="n">
        <x:f>C11*1</x:f>
        <x:v>334188.01</x:v>
      </x:c>
      <x:c r="F11" s="8" t="str">
        <x:v>元</x:v>
      </x:c>
      <x:c r="G11" s="8" t="str">
        <x:v>一（二）增值税方面</x:v>
      </x:c>
      <x:c r="H11" s="8" t="str">
        <x:v>不直接映射</x:v>
      </x:c>
      <x:c r="I11" s="8" t="str">
        <x:v>可用</x:v>
      </x:c>
      <x:c r="J11" s="8" t="str">
        <x:v>批次汇总；源文存在冲突</x:v>
      </x:c>
    </x:row>
    <x:row r="12" ht="48" customHeight="1">
      <x:c r="A12" s="6" t="str">
        <x:v>2011-11-26</x:v>
      </x:c>
      <x:c r="B12" s="6" t="str">
        <x:v>源弘润-价税合计</x:v>
      </x:c>
      <x:c r="C12" s="12" t="n">
        <x:v>2300000</x:v>
      </x:c>
      <x:c r="D12" s="6" t="str">
        <x:v>元</x:v>
      </x:c>
      <x:c r="E12" s="12" t="n">
        <x:f>C12*1</x:f>
        <x:v>2300000</x:v>
      </x:c>
      <x:c r="F12" s="6" t="str">
        <x:v>元</x:v>
      </x:c>
      <x:c r="G12" s="6" t="str">
        <x:v>一（二）增值税方面</x:v>
      </x:c>
      <x:c r="H12" s="6" t="str">
        <x:v>不直接映射</x:v>
      </x:c>
      <x:c r="I12" s="6" t="str">
        <x:v>可用</x:v>
      </x:c>
      <x:c r="J12" s="6" t="str">
        <x:v>批次汇总；源文存在冲突</x:v>
      </x:c>
    </x:row>
    <x:row r="13" ht="48" customHeight="1">
      <x:c r="A13" s="8" t="str">
        <x:v>2012-03-28</x:v>
      </x:c>
      <x:c r="B13" s="8" t="str">
        <x:v>富顺康-份数</x:v>
      </x:c>
      <x:c r="C13" s="22" t="n">
        <x:v>173</x:v>
      </x:c>
      <x:c r="D13" s="8" t="str">
        <x:v>份</x:v>
      </x:c>
      <x:c r="E13" s="22" t="n">
        <x:f>C13*1</x:f>
        <x:v>173</x:v>
      </x:c>
      <x:c r="F13" s="8" t="str">
        <x:v>份</x:v>
      </x:c>
      <x:c r="G13" s="8" t="str">
        <x:v>一（二）增值税方面</x:v>
      </x:c>
      <x:c r="H13" s="8" t="str">
        <x:v>不直接映射</x:v>
      </x:c>
      <x:c r="I13" s="8" t="str">
        <x:v>可用</x:v>
      </x:c>
      <x:c r="J13" s="8" t="str">
        <x:v>批次汇总；源文存在冲突</x:v>
      </x:c>
    </x:row>
    <x:row r="14" ht="48" customHeight="1">
      <x:c r="A14" s="6" t="str">
        <x:v>2012-03-28</x:v>
      </x:c>
      <x:c r="B14" s="6" t="str">
        <x:v>富顺康-不含税金额</x:v>
      </x:c>
      <x:c r="C14" s="12" t="n">
        <x:v>17149108.49</x:v>
      </x:c>
      <x:c r="D14" s="6" t="str">
        <x:v>元</x:v>
      </x:c>
      <x:c r="E14" s="12" t="n">
        <x:f>C14*1</x:f>
        <x:v>17149108.49</x:v>
      </x:c>
      <x:c r="F14" s="6" t="str">
        <x:v>元</x:v>
      </x:c>
      <x:c r="G14" s="6" t="str">
        <x:v>一（二）增值税方面</x:v>
      </x:c>
      <x:c r="H14" s="6" t="str">
        <x:v>不直接映射</x:v>
      </x:c>
      <x:c r="I14" s="6" t="str">
        <x:v>可用</x:v>
      </x:c>
      <x:c r="J14" s="6" t="str">
        <x:v>批次汇总；源文存在冲突</x:v>
      </x:c>
    </x:row>
    <x:row r="15" ht="48" customHeight="1">
      <x:c r="A15" s="8" t="str">
        <x:v>2012-03-28</x:v>
      </x:c>
      <x:c r="B15" s="8" t="str">
        <x:v>富顺康-进项税额</x:v>
      </x:c>
      <x:c r="C15" s="13" t="n">
        <x:v>2915347.51</x:v>
      </x:c>
      <x:c r="D15" s="8" t="str">
        <x:v>元</x:v>
      </x:c>
      <x:c r="E15" s="13" t="n">
        <x:f>C15*1</x:f>
        <x:v>2915347.51</x:v>
      </x:c>
      <x:c r="F15" s="8" t="str">
        <x:v>元</x:v>
      </x:c>
      <x:c r="G15" s="8" t="str">
        <x:v>一（二）增值税方面</x:v>
      </x:c>
      <x:c r="H15" s="8" t="str">
        <x:v>不直接映射</x:v>
      </x:c>
      <x:c r="I15" s="8" t="str">
        <x:v>可用</x:v>
      </x:c>
      <x:c r="J15" s="8" t="str">
        <x:v>批次汇总；源文存在冲突</x:v>
      </x:c>
    </x:row>
    <x:row r="16" ht="48" customHeight="1">
      <x:c r="A16" s="6" t="str">
        <x:v>2012-03-28</x:v>
      </x:c>
      <x:c r="B16" s="6" t="str">
        <x:v>富顺康-价税合计</x:v>
      </x:c>
      <x:c r="C16" s="12" t="n">
        <x:v>20064456</x:v>
      </x:c>
      <x:c r="D16" s="6" t="str">
        <x:v>元</x:v>
      </x:c>
      <x:c r="E16" s="12" t="n">
        <x:f>C16*1</x:f>
        <x:v>20064456</x:v>
      </x:c>
      <x:c r="F16" s="6" t="str">
        <x:v>元</x:v>
      </x:c>
      <x:c r="G16" s="6" t="str">
        <x:v>一（二）增值税方面</x:v>
      </x:c>
      <x:c r="H16" s="6" t="str">
        <x:v>不直接映射</x:v>
      </x:c>
      <x:c r="I16" s="6" t="str">
        <x:v>可用</x:v>
      </x:c>
      <x:c r="J16" s="6" t="str">
        <x:v>批次汇总；源文存在冲突</x:v>
      </x:c>
    </x:row>
    <x:row r="17" ht="48" customHeight="1">
      <x:c r="A17" s="8" t="str">
        <x:v>2012-05-25</x:v>
      </x:c>
      <x:c r="B17" s="8" t="str">
        <x:v>卓屹-份数</x:v>
      </x:c>
      <x:c r="C17" s="22" t="n">
        <x:v>70</x:v>
      </x:c>
      <x:c r="D17" s="8" t="str">
        <x:v>份</x:v>
      </x:c>
      <x:c r="E17" s="22" t="n">
        <x:f>C17*1</x:f>
        <x:v>70</x:v>
      </x:c>
      <x:c r="F17" s="8" t="str">
        <x:v>份</x:v>
      </x:c>
      <x:c r="G17" s="8" t="str">
        <x:v>一（二）增值税方面</x:v>
      </x:c>
      <x:c r="H17" s="8" t="str">
        <x:v>不直接映射</x:v>
      </x:c>
      <x:c r="I17" s="8" t="str">
        <x:v>可用</x:v>
      </x:c>
      <x:c r="J17" s="8" t="str">
        <x:v>批次汇总；源文存在冲突</x:v>
      </x:c>
    </x:row>
    <x:row r="18" ht="48" customHeight="1">
      <x:c r="A18" s="6" t="str">
        <x:v>2012-05-25</x:v>
      </x:c>
      <x:c r="B18" s="6" t="str">
        <x:v>卓屹-不含税金额</x:v>
      </x:c>
      <x:c r="C18" s="12" t="n">
        <x:v>6985748.5</x:v>
      </x:c>
      <x:c r="D18" s="6" t="str">
        <x:v>元</x:v>
      </x:c>
      <x:c r="E18" s="12" t="n">
        <x:f>C18*1</x:f>
        <x:v>6985748.5</x:v>
      </x:c>
      <x:c r="F18" s="6" t="str">
        <x:v>元</x:v>
      </x:c>
      <x:c r="G18" s="6" t="str">
        <x:v>一（二）增值税方面</x:v>
      </x:c>
      <x:c r="H18" s="6" t="str">
        <x:v>不直接映射</x:v>
      </x:c>
      <x:c r="I18" s="6" t="str">
        <x:v>可用</x:v>
      </x:c>
      <x:c r="J18" s="6" t="str">
        <x:v>批次汇总；源文存在冲突</x:v>
      </x:c>
    </x:row>
    <x:row r="19" ht="48" customHeight="1">
      <x:c r="A19" s="8" t="str">
        <x:v>2012-05-25</x:v>
      </x:c>
      <x:c r="B19" s="8" t="str">
        <x:v>卓屹-进项税额</x:v>
      </x:c>
      <x:c r="C19" s="13" t="n">
        <x:v>1187587.5</x:v>
      </x:c>
      <x:c r="D19" s="8" t="str">
        <x:v>元</x:v>
      </x:c>
      <x:c r="E19" s="13" t="n">
        <x:f>C19*1</x:f>
        <x:v>1187587.5</x:v>
      </x:c>
      <x:c r="F19" s="8" t="str">
        <x:v>元</x:v>
      </x:c>
      <x:c r="G19" s="8" t="str">
        <x:v>一（二）增值税方面</x:v>
      </x:c>
      <x:c r="H19" s="8" t="str">
        <x:v>不直接映射</x:v>
      </x:c>
      <x:c r="I19" s="8" t="str">
        <x:v>可用</x:v>
      </x:c>
      <x:c r="J19" s="8" t="str">
        <x:v>批次汇总；源文存在冲突</x:v>
      </x:c>
    </x:row>
    <x:row r="20" ht="48" customHeight="1">
      <x:c r="A20" s="6" t="str">
        <x:v>2012-05-25</x:v>
      </x:c>
      <x:c r="B20" s="6" t="str">
        <x:v>卓屹-价税合计</x:v>
      </x:c>
      <x:c r="C20" s="12" t="n">
        <x:v>8173336</x:v>
      </x:c>
      <x:c r="D20" s="6" t="str">
        <x:v>元</x:v>
      </x:c>
      <x:c r="E20" s="12" t="n">
        <x:f>C20*1</x:f>
        <x:v>8173336</x:v>
      </x:c>
      <x:c r="F20" s="6" t="str">
        <x:v>元</x:v>
      </x:c>
      <x:c r="G20" s="6" t="str">
        <x:v>一（二）增值税方面</x:v>
      </x:c>
      <x:c r="H20" s="6" t="str">
        <x:v>不直接映射</x:v>
      </x:c>
      <x:c r="I20" s="6" t="str">
        <x:v>可用</x:v>
      </x:c>
      <x:c r="J20" s="6" t="str">
        <x:v>批次汇总；源文存在冲突</x:v>
      </x:c>
    </x:row>
    <x:row r="21" ht="48" customHeight="1">
      <x:c r="A21" s="8" t="str">
        <x:v>2011—2012</x:v>
      </x:c>
      <x:c r="B21" s="8" t="str">
        <x:v>应补缴增值税</x:v>
      </x:c>
      <x:c r="C21" s="13" t="n">
        <x:v>4437123.02</x:v>
      </x:c>
      <x:c r="D21" s="8" t="str">
        <x:v>元</x:v>
      </x:c>
      <x:c r="E21" s="13" t="n">
        <x:f>C21*1</x:f>
        <x:v>4437123.02</x:v>
      </x:c>
      <x:c r="F21" s="8" t="str">
        <x:v>元</x:v>
      </x:c>
      <x:c r="G21" s="8" t="str">
        <x:v>一（三）（四）及二处罚决定</x:v>
      </x:c>
      <x:c r="H21" s="8" t="str">
        <x:v>不直接映射</x:v>
      </x:c>
      <x:c r="I21" s="8" t="str">
        <x:v>可用</x:v>
      </x:c>
      <x:c r="J21" s="8" t="str">
        <x:v>查补额不是全期申报应纳税额</x:v>
      </x:c>
    </x:row>
    <x:row r="22" ht="48" customHeight="1">
      <x:c r="A22" s="6" t="str">
        <x:v>2011—2012</x:v>
      </x:c>
      <x:c r="B22" s="6" t="str">
        <x:v>城市维护建设税</x:v>
      </x:c>
      <x:c r="C22" s="12" t="n">
        <x:v>221856.15</x:v>
      </x:c>
      <x:c r="D22" s="6" t="str">
        <x:v>元</x:v>
      </x:c>
      <x:c r="E22" s="12" t="n">
        <x:f>C22*1</x:f>
        <x:v>221856.15</x:v>
      </x:c>
      <x:c r="F22" s="6" t="str">
        <x:v>元</x:v>
      </x:c>
      <x:c r="G22" s="6" t="str">
        <x:v>一（三）（四）及二处罚决定</x:v>
      </x:c>
      <x:c r="H22" s="6" t="str">
        <x:v>不直接映射</x:v>
      </x:c>
      <x:c r="I22" s="6" t="str">
        <x:v>可用</x:v>
      </x:c>
      <x:c r="J22" s="6" t="str">
        <x:v>查补额不是全期申报应纳税额</x:v>
      </x:c>
    </x:row>
    <x:row r="23" ht="48" customHeight="1">
      <x:c r="A23" s="8" t="str">
        <x:v>2011—2012</x:v>
      </x:c>
      <x:c r="B23" s="8" t="str">
        <x:v>教育费附加</x:v>
      </x:c>
      <x:c r="C23" s="13" t="n">
        <x:v>133113.69</x:v>
      </x:c>
      <x:c r="D23" s="8" t="str">
        <x:v>元</x:v>
      </x:c>
      <x:c r="E23" s="13" t="n">
        <x:f>C23*1</x:f>
        <x:v>133113.69</x:v>
      </x:c>
      <x:c r="F23" s="8" t="str">
        <x:v>元</x:v>
      </x:c>
      <x:c r="G23" s="8" t="str">
        <x:v>一（三）（四）及二处罚决定</x:v>
      </x:c>
      <x:c r="H23" s="8" t="str">
        <x:v>不直接映射</x:v>
      </x:c>
      <x:c r="I23" s="8" t="str">
        <x:v>可用</x:v>
      </x:c>
      <x:c r="J23" s="8" t="str">
        <x:v>查补额不是全期申报应纳税额</x:v>
      </x:c>
    </x:row>
    <x:row r="24" ht="48" customHeight="1">
      <x:c r="A24" s="6" t="str">
        <x:v>2011—2012</x:v>
      </x:c>
      <x:c r="B24" s="6" t="str">
        <x:v>地方教育附加</x:v>
      </x:c>
      <x:c r="C24" s="12" t="n">
        <x:v>88742.46</x:v>
      </x:c>
      <x:c r="D24" s="6" t="str">
        <x:v>元</x:v>
      </x:c>
      <x:c r="E24" s="12" t="n">
        <x:f>C24*1</x:f>
        <x:v>88742.46</x:v>
      </x:c>
      <x:c r="F24" s="6" t="str">
        <x:v>元</x:v>
      </x:c>
      <x:c r="G24" s="6" t="str">
        <x:v>一（三）（四）及二处罚决定</x:v>
      </x:c>
      <x:c r="H24" s="6" t="str">
        <x:v>不直接映射</x:v>
      </x:c>
      <x:c r="I24" s="6" t="str">
        <x:v>可用</x:v>
      </x:c>
      <x:c r="J24" s="6" t="str">
        <x:v>查补额不是全期申报应纳税额</x:v>
      </x:c>
    </x:row>
    <x:row r="25" ht="48" customHeight="1">
      <x:c r="A25" s="8" t="str">
        <x:v>2011—2012</x:v>
      </x:c>
      <x:c r="B25" s="8" t="str">
        <x:v>应补缴企业所得税</x:v>
      </x:c>
      <x:c r="C25" s="13" t="n">
        <x:v>6414239.17</x:v>
      </x:c>
      <x:c r="D25" s="8" t="str">
        <x:v>元</x:v>
      </x:c>
      <x:c r="E25" s="13" t="n">
        <x:f>C25*1</x:f>
        <x:v>6414239.17</x:v>
      </x:c>
      <x:c r="F25" s="8" t="str">
        <x:v>元</x:v>
      </x:c>
      <x:c r="G25" s="8" t="str">
        <x:v>一（三）（四）及二处罚决定</x:v>
      </x:c>
      <x:c r="H25" s="8" t="str">
        <x:v>不直接映射</x:v>
      </x:c>
      <x:c r="I25" s="8" t="str">
        <x:v>可用</x:v>
      </x:c>
      <x:c r="J25" s="8" t="str">
        <x:v>查补额不是全期申报应纳税额</x:v>
      </x:c>
    </x:row>
    <x:row r="26" ht="48" customHeight="1">
      <x:c r="A26" s="6" t="str">
        <x:v>2011—2012</x:v>
      </x:c>
      <x:c r="B26" s="6" t="str">
        <x:v>少缴税费合计</x:v>
      </x:c>
      <x:c r="C26" s="12" t="n">
        <x:v>11295074.49</x:v>
      </x:c>
      <x:c r="D26" s="6" t="str">
        <x:v>元</x:v>
      </x:c>
      <x:c r="E26" s="12" t="n">
        <x:f>C26*1</x:f>
        <x:v>11295074.49</x:v>
      </x:c>
      <x:c r="F26" s="6" t="str">
        <x:v>元</x:v>
      </x:c>
      <x:c r="G26" s="6" t="str">
        <x:v>一（三）（四）及二处罚决定</x:v>
      </x:c>
      <x:c r="H26" s="6" t="str">
        <x:v>不直接映射</x:v>
      </x:c>
      <x:c r="I26" s="6" t="str">
        <x:v>可用</x:v>
      </x:c>
      <x:c r="J26" s="6" t="str">
        <x:v>查补额不是全期申报应纳税额</x:v>
      </x:c>
    </x:row>
    <x:row r="27" ht="48" customHeight="1">
      <x:c r="A27" s="8" t="str">
        <x:v>2011—2012</x:v>
      </x:c>
      <x:c r="B27" s="8" t="str">
        <x:v>最终罚款</x:v>
      </x:c>
      <x:c r="C27" s="13" t="n">
        <x:v>11073218.34</x:v>
      </x:c>
      <x:c r="D27" s="8" t="str">
        <x:v>元</x:v>
      </x:c>
      <x:c r="E27" s="13" t="n">
        <x:f>C27*1</x:f>
        <x:v>11073218.34</x:v>
      </x:c>
      <x:c r="F27" s="8" t="str">
        <x:v>元</x:v>
      </x:c>
      <x:c r="G27" s="8" t="str">
        <x:v>一（三）（四）及二处罚决定</x:v>
      </x:c>
      <x:c r="H27" s="8" t="str">
        <x:v>不直接映射</x:v>
      </x:c>
      <x:c r="I27" s="8" t="str">
        <x:v>可用</x:v>
      </x:c>
      <x:c r="J27" s="8" t="str">
        <x:v>查补额不是全期申报应纳税额</x:v>
      </x:c>
    </x:row>
    <x:row r="28" ht="48" customHeight="1">
      <x:c r="A28" s="6" t="str">
        <x:v>2011—2012</x:v>
      </x:c>
      <x:c r="B28" s="6" t="str">
        <x:v>富顺康税额（冲突概述）</x:v>
      </x:c>
      <x:c r="C28" s="12" t="n">
        <x:v>334188.01</x:v>
      </x:c>
      <x:c r="D28" s="6" t="str">
        <x:v>元</x:v>
      </x:c>
      <x:c r="E28" s="12" t="n">
        <x:f>C28*1</x:f>
        <x:v>334188.01</x:v>
      </x:c>
      <x:c r="F28" s="6" t="str">
        <x:v>元</x:v>
      </x:c>
      <x:c r="G28" s="6" t="str">
        <x:v>一（一）虚开增值税专用发票</x:v>
      </x:c>
      <x:c r="H28" s="6" t="str">
        <x:v>不直接映射</x:v>
      </x:c>
      <x:c r="I28" s="6" t="str">
        <x:v>原文冲突</x:v>
      </x:c>
      <x:c r="J28" s="6" t="str">
        <x:v>对应173份却沿用源弘润20份的税额，与一（二）2915347.51不一致</x:v>
      </x:c>
    </x:row>
    <x:row r="31">
      <x:c r="A31" s="24" t="str">
        <x:v>发票批次（原文分项，未展开为逐张发票）</x:v>
      </x:c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 ht="32" customHeight="1">
      <x:c r="A32" s="26" t="str">
        <x:v>日期</x:v>
      </x:c>
      <x:c r="B32" s="26" t="str">
        <x:v>开票方</x:v>
      </x:c>
      <x:c r="C32" s="26" t="str">
        <x:v>份数</x:v>
      </x:c>
      <x:c r="D32" s="26" t="str"/>
      <x:c r="E32" s="26" t="str">
        <x:v>发票代码</x:v>
      </x:c>
      <x:c r="F32" s="26" t="str"/>
      <x:c r="G32" s="26" t="str">
        <x:v>号码段</x:v>
      </x:c>
      <x:c r="H32" s="26" t="str">
        <x:v>原文定位</x:v>
      </x:c>
      <x:c r="I32" s="26" t="str"/>
      <x:c r="J32" s="26" t="str">
        <x:v>来源冲突</x:v>
      </x:c>
    </x:row>
    <x:row r="33" ht="60" customHeight="1">
      <x:c r="A33" s="27" t="str">
        <x:v>2011-11-26</x:v>
      </x:c>
      <x:c r="B33" s="27" t="str">
        <x:v>包头市源弘润矿业有限公司</x:v>
      </x:c>
      <x:c r="C33" s="27" t="n">
        <x:v>20</x:v>
      </x:c>
      <x:c r="D33" s="27" t="str"/>
      <x:c r="E33" s="28" t="str">
        <x:v>1500111140</x:v>
      </x:c>
      <x:c r="F33" s="27" t="str"/>
      <x:c r="G33" s="27" t="str">
        <x:v>00989294-00989313</x:v>
      </x:c>
      <x:c r="H33" s="27" t="str">
        <x:v>一（二）增值税方面</x:v>
      </x:c>
      <x:c r="I33" s="27" t="str"/>
      <x:c r="J33" s="27" t="str">
        <x:v>仅按分项提取；全源存在冲突</x:v>
      </x:c>
    </x:row>
    <x:row r="34" ht="60" customHeight="1">
      <x:c r="A34" s="27" t="str">
        <x:v>2012-03-28</x:v>
      </x:c>
      <x:c r="B34" s="27" t="str">
        <x:v>包头市富顺康矿业有限公司</x:v>
      </x:c>
      <x:c r="C34" s="27" t="n">
        <x:v>173</x:v>
      </x:c>
      <x:c r="D34" s="27" t="str"/>
      <x:c r="E34" s="28" t="str">
        <x:v>1500112140</x:v>
      </x:c>
      <x:c r="F34" s="27" t="str"/>
      <x:c r="G34" s="27" t="str">
        <x:v>00788916-00789088</x:v>
      </x:c>
      <x:c r="H34" s="27" t="str">
        <x:v>一（二）增值税方面</x:v>
      </x:c>
      <x:c r="I34" s="27" t="str"/>
      <x:c r="J34" s="27" t="str">
        <x:v>仅按分项提取；全源存在冲突</x:v>
      </x:c>
    </x:row>
    <x:row r="35" ht="60" customHeight="1">
      <x:c r="A35" s="27" t="str">
        <x:v>2012-05-25</x:v>
      </x:c>
      <x:c r="B35" s="27" t="str">
        <x:v>包头市卓屹矿业有限公司</x:v>
      </x:c>
      <x:c r="C35" s="27" t="n">
        <x:v>70</x:v>
      </x:c>
      <x:c r="D35" s="27" t="str"/>
      <x:c r="E35" s="28" t="str">
        <x:v>1500121140</x:v>
      </x:c>
      <x:c r="F35" s="27" t="str"/>
      <x:c r="G35" s="27" t="str">
        <x:v>00036288-00036317、00036388-00036427</x:v>
      </x:c>
      <x:c r="H35" s="27" t="str">
        <x:v>一（二）增值税方面</x:v>
      </x:c>
      <x:c r="I35" s="27" t="str"/>
      <x:c r="J35" s="27" t="str">
        <x:v>仅按分项提取；全源存在冲突</x:v>
      </x:c>
    </x:row>
  </x:sheetData>
  <x:conditionalFormatting sqref="I9:I28">
    <x:cfRule type="containsText" dxfId="10" priority="1" operator="containsText" text="冲突"/>
    <x:cfRule type="containsText" dxfId="11" priority="2" operator="containsText" text="横杠"/>
  </x:conditionalFormatting>
  <x:pageMargins left="0.7" right="0.7" top="0.75" bottom="0.75" header="0.3" footer="0.3"/>
</x:worksheet>
</file>